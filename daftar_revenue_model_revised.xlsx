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Revenue Model" sheetId="3" state="visible" r:id="rId5"/>
    <sheet name="Sensitivity" sheetId="4" state="visible" r:id="rId6"/>
    <sheet name="Capacity" sheetId="5" state="visible" r:id="rId7"/>
    <sheet name="Pipeline Leads" sheetId="6" state="visible" r:id="rId8"/>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[Narrative/Logic | low]
Prioritization is asserted (Investor Readiness first, SME second, Finance Desk as upsell) but the model schedules the three angles in proportional mixes (55/35/10 → 40/42/18). Either reflect the priority in the mix curve (start higher on IR, taper faster) or describe this as a marketing prioritization, not a model output.
Suggested: Prioritize Investor Readiness first (marketing prioritization; the assumption mix already weights IR ~55% in M1-M3). Run SME Finance Advisory in parallel and convert project clients to a Monthly Finance Desk retainer after trust is established.</t>
        </r>
      </text>
    </comment>
    <comment ref="C8" authorId="0">
      <text>
        <r>
          <rPr>
            <sz val="10"/>
            <rFont val="Arial"/>
            <family val="2"/>
          </rPr>
          <t xml:space="preserve">[Narrative/Logic | medium]
USD-only model with FX handled outside leaves currency risk invisible. Founder operating costs (rent, food, living buffer) are realistically in JOD while fees are quoted in USD. Add an FX line (USD/JOD assumption) and a sensitivity for ±10% move to make exposure visible.
Suggested: USD. Add an explicit USD/JOD assumption cell and stress with a ±10% move; do not push FX handling outside the model when most operating costs are in JOD.</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[Narrative/Logic | medium]
Discovery-call rate is fixed at 20% across all 12 months while outreach scales from 15 to 38/month. In reality conversion typically improves as reputation builds; conversely cold outreach quality tends to plateau. Add a ramp (e.g., 15% → 22%) or note the assumption is intentionally conservative/flat.
Suggested: Discovery call rate</t>
        </r>
      </text>
    </comment>
    <comment ref="B24" authorId="0">
      <text>
        <r>
          <rPr>
            <sz val="10"/>
            <rFont val="Arial"/>
            <family val="2"/>
          </rPr>
          <t xml:space="preserve">[Narrative/Logic | medium]
Lead-source capacity cap (3,3,4,4,5,5,6,6,7,7,8,8) binds in most months (e.g., M2 outreach×rate = 3.6 → capped to 3, M4 4.4 → 4, M6 5.2 → 5). This explains the small +4% upside when discovery rate is raised to 30%. Either widen the cap (and add a delivery-capacity constraint separately) or document it as the binding throughput limit, because today it silently kills upside without the reader noticing.
Suggested: Lead source capacity cap</t>
        </r>
      </text>
    </comment>
    <comment ref="B28" authorId="0">
      <text>
        <r>
          <rPr>
            <sz val="10"/>
            <rFont val="Arial"/>
            <family val="2"/>
          </rPr>
          <t xml:space="preserve">Cost block expanded with taxes, own-books accounting, banking/FX, and contingency per review. Operating costs now sum B29:B36.</t>
        </r>
      </text>
    </comment>
    <comment ref="B29" authorId="0">
      <text>
        <r>
          <rPr>
            <sz val="10"/>
            <rFont val="Arial"/>
            <family val="2"/>
          </rPr>
          <t xml:space="preserve">[Narrative/Logic | medium]
Cost lines are light for a solo Jordan-based advisory: no taxes/withholding, no accountant for own books, no banking/FX fees, no contingency. Founder draw $2,500/mo is the only personal cost and there is no separate JOD living-cost line. Add (a) self-employment tax / social security, (b) a JOD-denominated living-cost line, (c) a 10% contingency.
Suggested: Founder draw / living buffer</t>
        </r>
      </text>
    </comment>
    <comment ref="B30" authorId="0">
      <text>
        <r>
          <rPr>
            <sz val="10"/>
            <rFont val="Arial"/>
            <family val="2"/>
          </rPr>
          <t xml:space="preserve">Tools/software raised from prior $300-350; realistic stack (CRM+accounting+data room+video+domain) ~ $300-450. Adjust as needed.</t>
        </r>
      </text>
    </comment>
    <comment ref="B46" authorId="0">
      <text>
        <r>
          <rPr>
            <sz val="10"/>
            <rFont val="Arial"/>
            <family val="2"/>
          </rPr>
          <t xml:space="preserve">Win-rate ramps 0.30-&gt;0.40 over the year, reflecting sharper positioning, referrals, and better proposals as reputation builds. Base = these values; scenario multiplier scales them.</t>
        </r>
      </text>
    </comment>
    <comment ref="C5" authorId="0">
      <text>
        <r>
          <rPr>
            <sz val="10"/>
            <rFont val="Arial"/>
            <family val="2"/>
          </rPr>
          <t xml:space="preserve">Type one of: Base, Conservative, Aggressive</t>
        </r>
      </text>
    </comment>
    <comment ref="C50" authorId="0">
      <text>
        <r>
          <rPr>
            <sz val="10"/>
            <rFont val="Arial"/>
            <family val="2"/>
          </rPr>
          <t xml:space="preserve">USD/JOD is effectively pegged ~1.41. Stress via the FX shock cell below.</t>
        </r>
      </text>
    </comment>
    <comment ref="C51" authorId="0">
      <text>
        <r>
          <rPr>
            <sz val="10"/>
            <rFont val="Arial"/>
            <family val="2"/>
          </rPr>
          <t xml:space="preserve">Set to 0.90 to model a 10% adverse USD/JOD move on USD-denominated fees.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Won/booked figures are fractional expected values (planning view), not integer project counts.</t>
        </r>
      </text>
    </comment>
    <comment ref="B13" authorId="0">
      <text>
        <r>
          <rPr>
            <sz val="10"/>
            <rFont val="Arial"/>
            <family val="2"/>
          </rPr>
          <t xml:space="preserve">Booked = accrual revenue (fee recognized at win), with FX shock multiplier C51 applied. Collected cash is split 50/50 across win and delivery months below.</t>
        </r>
      </text>
    </comment>
    <comment ref="B16" authorId="0">
      <text>
        <r>
          <rPr>
            <sz val="10"/>
            <rFont val="Arial"/>
            <family val="2"/>
          </rPr>
          <t xml:space="preserve">[Narrative/Logic | medium]
Retainer-cascade formula uses hardcoded month-number IF tests: IF(2=1,0,C16+C15), IF(3=1,0,D16+D15), etc. All conditions are always TRUE so the IF is dead code and brittle if copy-pasted. Replace with a clean cumulative formula such as D16 = C16+C15 (and C16 = 0). This is correct math but unprofessional and audit-unfriendly.
Suggested: Retainer revenue from prior months</t>
        </r>
      </text>
    </comment>
    <comment ref="B17" authorId="0">
      <text>
        <r>
          <rPr>
            <sz val="10"/>
            <rFont val="Arial"/>
            <family val="2"/>
          </rPr>
          <t xml:space="preserve">[Narrative/Logic | low]
"Total gross revenue" sums project revenue (one-time, booked at win) and retainer revenue (recurring, accumulating). Mixing these in a single line obscures the runway story. Add two subtotals: "Project revenue" and "Retainer revenue" before the Total.
Suggested: Total gross revenue</t>
        </r>
      </text>
    </comment>
    <comment ref="B20" authorId="0">
      <text>
        <r>
          <rPr>
            <sz val="10"/>
            <rFont val="Arial"/>
            <family val="2"/>
          </rPr>
          <t xml:space="preserve">[Narrative/Logic | medium]
Cumulative net cash (B20) is not an actual cash balance: it does not include a starting bank balance or any startup outlays (legal setup, website build, first software licenses). Month 1 net cash of $159 leaves zero buffer if a single client invoice slips. Add a Starting Cash input cell and (optionally) a Month 0 line for setup costs.
Suggested: Cumulative net cash (excludes starting balance and any Month-0 setup costs)</t>
        </r>
      </text>
    </comment>
    <comment ref="B25" authorId="0">
      <text>
        <r>
          <rPr>
            <sz val="10"/>
            <rFont val="Arial"/>
            <family val="2"/>
          </rPr>
          <t xml:space="preserve">True cash balance: starting cash (Assumptions C52) + cumulative net cash, with Month-0 setup costs charged in Month 1.</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Clarified per review: this grid isolates Investor Ready project revenue. Base cell (~$59,431) is IR project revenue, NOT total model revenue ($140,642).</t>
        </r>
      </text>
    </comment>
    <comment ref="B7" authorId="0">
      <text>
        <r>
          <rPr>
            <sz val="10"/>
            <rFont val="Arial"/>
            <family val="2"/>
          </rPr>
          <t xml:space="preserve">Denominator corrected to integrated base win rate 0.35 (was Month-1 0.30). Columns are IR fee; rows are IR win rate.</t>
        </r>
      </text>
    </comment>
    <comment ref="B18" authorId="0">
      <text>
        <r>
          <rPr>
            <sz val="10"/>
            <rFont val="Arial"/>
            <family val="2"/>
          </rPr>
          <t xml:space="preserve">Replaced duplicate cumulative-cash metric with the true year-end cash balance per review.</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27" authorId="0">
      <text>
        <r>
          <rPr>
            <sz val="10"/>
            <rFont val="Arial"/>
            <family val="2"/>
          </rPr>
          <t xml:space="preserve">Addresses review High issue: no solo-founder capacity check. Flags months/year where one founder cannot deliver the modelled pipeline.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[Non-Public Info | medium]
Sheet lists 5 named target accounts (Abwaab, Tamatem Games, Liwwa, WashyWash, Manara Ventures) with specific outreach hooks referencing recent acquisitions and funding. Triggers themselves are public news, but the bundled "who to call / what to say / which audit issues to surface" reads as a commercial-strategy document. Mark the workbook "Internal — Pipeline Tactics" and exclude this sheet from any version shared with prospects, partners, or investors.
Suggested: First 5 lead targets (INTERNAL — do not share externally)</t>
        </r>
      </text>
    </comment>
    <comment ref="E11" authorId="0">
      <text>
        <r>
          <rPr>
            <sz val="10"/>
            <rFont val="Arial"/>
            <family val="2"/>
          </rPr>
          <t xml:space="preserve">[Public Data | low]
Each lead references a specific public trigger (e.g., "Apex Education acquisition", "Playable Factory acquisition", "$70.5M fund launched"). These are date-sensitive — verify the figures and event dates against the cited sources (Wamda / Atlantic Council / MAGNiTT) within 30 days of outreach, because outreach hooks lose credibility quickly when the underlying detail is stale or wrong.
Suggested: $70.5M fund launched</t>
        </r>
      </text>
    </comment>
  </commentList>
</comments>
</file>

<file path=xl/sharedStrings.xml><?xml version="1.0" encoding="utf-8"?>
<sst xmlns="http://schemas.openxmlformats.org/spreadsheetml/2006/main" count="227" uniqueCount="188">
  <si>
    <t xml:space="preserve">Daftar Advisory revenue model</t>
  </si>
  <si>
    <t xml:space="preserve">Editable 12-month launch model for MENA remote and Jordan finance advisory</t>
  </si>
  <si>
    <t xml:space="preserve">Purpose</t>
  </si>
  <si>
    <t xml:space="preserve">Model revenue potential across three launch angles: Startup CFO / Investor Readiness, SME Finance Advisory, and Fractional Finance Desk.</t>
  </si>
  <si>
    <t xml:space="preserve">How to use</t>
  </si>
  <si>
    <t xml:space="preserve">Edit yellow input cells on the Assumptions sheet. Revenue Model, Sensitivity, and charts update from formulas.</t>
  </si>
  <si>
    <t xml:space="preserve">Default recommendation</t>
  </si>
  <si>
    <t xml:space="preserve">Prioritize Investor Readiness first, run SME Finance Advisory in parallel, and use Fractional Finance Desk as an upsell after project trust is established.</t>
  </si>
  <si>
    <t xml:space="preserve">Currency</t>
  </si>
  <si>
    <t xml:space="preserve">USD for fees; founder costs JOD-denominated. USD/JOD and a 10% FX shock are now modelled on the Assumptions sheet (C50:C51).</t>
  </si>
  <si>
    <t xml:space="preserve">Important</t>
  </si>
  <si>
    <t xml:space="preserve">Decision-grade estimates, not guarantees. Project fees split 50% at signing / 50% at delivery. Cash balance includes starting cash and Month-0 setup. See Capacity sheet for solo-founder feasibility. Replace assumptions with real pipeline data after the first 10 discovery calls.</t>
  </si>
  <si>
    <t xml:space="preserve">Revision log</t>
  </si>
  <si>
    <t xml:space="preserve">Cash timing: project fees now 50% win / 50% delivery (was 100% at win).</t>
  </si>
  <si>
    <t xml:space="preserve">Added FX line + 10% shock; JOD cost context.</t>
  </si>
  <si>
    <t xml:space="preserve">Added starting cash + Month-0 setup -&gt; true cash balance.</t>
  </si>
  <si>
    <t xml:space="preserve">New Capacity sheet: founder hours vs pipeline demand.</t>
  </si>
  <si>
    <t xml:space="preserve">Sensitivity retitled (Investor Ready project revenue only); denominator fixed to 0.35.</t>
  </si>
  <si>
    <t xml:space="preserve">Retainer cascade cleaned (removed dead IF code).</t>
  </si>
  <si>
    <t xml:space="preserve">Cost lines expanded (taxes, accounting, banking/FX, contingency).</t>
  </si>
  <si>
    <t xml:space="preserve">Pipeline Leads marked INTERNAL.</t>
  </si>
  <si>
    <t xml:space="preserve">Assumptions</t>
  </si>
  <si>
    <t xml:space="preserve">Yellow cells are inputs. All revenue calculations are formula-driven.</t>
  </si>
  <si>
    <t xml:space="preserve">Scenario</t>
  </si>
  <si>
    <t xml:space="preserve">Base</t>
  </si>
  <si>
    <t xml:space="preserve">Launch focus</t>
  </si>
  <si>
    <t xml:space="preserve">Investor Readiness first; SME advisory second; fractional desk as upsell</t>
  </si>
  <si>
    <t xml:space="preserve">Offer</t>
  </si>
  <si>
    <t xml:space="preserve">Angle</t>
  </si>
  <si>
    <t xml:space="preserve">Avg Fixed Fee ($)</t>
  </si>
  <si>
    <t xml:space="preserve">Low Fee ($)</t>
  </si>
  <si>
    <t xml:space="preserve">High Fee ($)</t>
  </si>
  <si>
    <t xml:space="preserve">Delivery Weeks</t>
  </si>
  <si>
    <t xml:space="preserve">Retainer Upsell %</t>
  </si>
  <si>
    <t xml:space="preserve">Monthly Retainer ($)</t>
  </si>
  <si>
    <t xml:space="preserve">Base Avg Fee</t>
  </si>
  <si>
    <t xml:space="preserve">Investor Ready</t>
  </si>
  <si>
    <t xml:space="preserve">Startup CFO / Investor Readiness</t>
  </si>
  <si>
    <t xml:space="preserve">Pre-Audit Cleanup</t>
  </si>
  <si>
    <t xml:space="preserve">SME Finance Advisory</t>
  </si>
  <si>
    <t xml:space="preserve">Monthly Finance Desk</t>
  </si>
  <si>
    <t xml:space="preserve">Fractional Finance Desk</t>
  </si>
  <si>
    <t xml:space="preserve">Metric</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</si>
  <si>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</si>
  <si>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</si>
  <si>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</si>
  <si>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</si>
  <si>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</si>
  <si>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</si>
  <si>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</si>
  <si>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</si>
  <si>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</si>
  <si>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</si>
  <si>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</si>
  <si>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</si>
  <si>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Outreach sent</t>
  </si>
  <si>
    <t xml:space="preserve">Discovery call rate</t>
  </si>
  <si>
    <t xml:space="preserve">Proposal rate from calls</t>
  </si>
  <si>
    <t xml:space="preserve">Win rate from proposals</t>
  </si>
  <si>
    <t xml:space="preserve">Investor Ready mix</t>
  </si>
  <si>
    <t xml:space="preserve">Pre-Audit Cleanup mix</t>
  </si>
  <si>
    <t xml:space="preserve">Monthly Finance Desk direct mix</t>
  </si>
  <si>
    <t xml:space="preserve">Lead source capacity cap</t>
  </si>
  <si>
    <t xml:space="preserve">Cost line</t>
  </si>
  <si>
    <t xml:space="preserve">Founder draw / living buffer</t>
  </si>
  <si>
    <t xml:space="preserve">Tools, software, website</t>
  </si>
  <si>
    <t xml:space="preserve">Marketing, travel, coffee, events</t>
  </si>
  <si>
    <t xml:space="preserve">Professional insurance / legal</t>
  </si>
  <si>
    <t xml:space="preserve">Taxes / withholding provision</t>
  </si>
  <si>
    <t xml:space="preserve">Accounting for own books</t>
  </si>
  <si>
    <t xml:space="preserve">Banking / FX fees</t>
  </si>
  <si>
    <t xml:space="preserve">Contingency buffer</t>
  </si>
  <si>
    <t xml:space="preserve">Win-rate x</t>
  </si>
  <si>
    <t xml:space="preserve">Fee x</t>
  </si>
  <si>
    <t xml:space="preserve">Conservative</t>
  </si>
  <si>
    <t xml:space="preserve">Aggressive</t>
  </si>
  <si>
    <t xml:space="preserve">Active win-rate multiplier</t>
  </si>
  <si>
    <t xml:space="preserve">Active fee multiplier</t>
  </si>
  <si>
    <t xml:space="preserve">Base win rate (pre-scenario)</t>
  </si>
  <si>
    <t xml:space="preserve">FX &amp; cash setup</t>
  </si>
  <si>
    <t xml:space="preserve">USD per 1 JOD (quote fees in USD, pay costs in JOD)</t>
  </si>
  <si>
    <t xml:space="preserve">FX shock applied to USD revenue (1.0 = none)</t>
  </si>
  <si>
    <t xml:space="preserve">Starting cash (bank balance, Month 0)</t>
  </si>
  <si>
    <t xml:space="preserve">Month-0 setup costs (registration, branding, website, licenses)</t>
  </si>
  <si>
    <t xml:space="preserve">12-month revenue model</t>
  </si>
  <si>
    <t xml:space="preserve">Formula-driven model using Assumptions sheet inputs</t>
  </si>
  <si>
    <t xml:space="preserve">Line item</t>
  </si>
  <si>
    <t xml:space="preserve">Year 1 Total</t>
  </si>
  <si>
    <t xml:space="preserve">Discovery calls</t>
  </si>
  <si>
    <t xml:space="preserve">Proposals sent</t>
  </si>
  <si>
    <t xml:space="preserve">Won engagements</t>
  </si>
  <si>
    <t xml:space="preserve">Investor Ready projects won</t>
  </si>
  <si>
    <t xml:space="preserve">Pre-Audit Cleanup projects won</t>
  </si>
  <si>
    <t xml:space="preserve">Monthly Finance Desk direct wins</t>
  </si>
  <si>
    <t xml:space="preserve">Investor Ready project revenue (booked)</t>
  </si>
  <si>
    <t xml:space="preserve">Pre-Audit project revenue (booked)</t>
  </si>
  <si>
    <t xml:space="preserve">  IR project cash collected (50% win / 50% delivery)</t>
  </si>
  <si>
    <t xml:space="preserve">  Pre-Audit project cash collected</t>
  </si>
  <si>
    <t xml:space="preserve">New monthly retainer revenue</t>
  </si>
  <si>
    <t xml:space="preserve">Retainer revenue from prior months</t>
  </si>
  <si>
    <t xml:space="preserve">Project cash collected (subtotal)</t>
  </si>
  <si>
    <t xml:space="preserve">Recurring retainer revenue (subtotal)</t>
  </si>
  <si>
    <t xml:space="preserve">Total cash collected</t>
  </si>
  <si>
    <t xml:space="preserve">Memo: total booked revenue (accrual)</t>
  </si>
  <si>
    <t xml:space="preserve">Operating costs</t>
  </si>
  <si>
    <t xml:space="preserve">Net cash before tax</t>
  </si>
  <si>
    <t xml:space="preserve">Cash balance (incl. starting cash)</t>
  </si>
  <si>
    <t xml:space="preserve">Sensitivity — Investor Ready project revenue only</t>
  </si>
  <si>
    <t xml:space="preserve">Year-1 INVESTOR READY PROJECT revenue (not total model revenue) by IR win rate and IR fee</t>
  </si>
  <si>
    <t xml:space="preserve">Investor Ready average fee sensitivity</t>
  </si>
  <si>
    <t xml:space="preserve">IR win rate / IR fee</t>
  </si>
  <si>
    <t xml:space="preserve">Decision readout</t>
  </si>
  <si>
    <t xml:space="preserve">Base Year 1 booked revenue</t>
  </si>
  <si>
    <t xml:space="preserve">Base Year 1 net cash before tax</t>
  </si>
  <si>
    <t xml:space="preserve">Year-end cash balance (incl. starting cash)</t>
  </si>
  <si>
    <t xml:space="preserve">First wedge</t>
  </si>
  <si>
    <t xml:space="preserve">Second wedge</t>
  </si>
  <si>
    <t xml:space="preserve">Retainer path</t>
  </si>
  <si>
    <t xml:space="preserve">Convert project clients into Monthly Finance Desk after trust is established</t>
  </si>
  <si>
    <t xml:space="preserve">Solo-founder delivery capacity check</t>
  </si>
  <si>
    <t xml:space="preserve">Tests whether one founder can deliver the modelled pipeline. Yellow cells are inputs.</t>
  </si>
  <si>
    <t xml:space="preserve">Productive hours per week</t>
  </si>
  <si>
    <t xml:space="preserve">Working weeks per year</t>
  </si>
  <si>
    <t xml:space="preserve">Hours per Investor Ready project</t>
  </si>
  <si>
    <t xml:space="preserve">Hours per Pre-Audit project</t>
  </si>
  <si>
    <t xml:space="preserve">Hours per Finance Desk retainer / month</t>
  </si>
  <si>
    <t xml:space="preserve">Hours per discovery call (incl prep)</t>
  </si>
  <si>
    <t xml:space="preserve">Hours per proposal</t>
  </si>
  <si>
    <t xml:space="preserve">Admin/ops hours per week</t>
  </si>
  <si>
    <t xml:space="preserve">Annual capacity (hours)</t>
  </si>
  <si>
    <t xml:space="preserve">Less admin/ops (hours/yr)</t>
  </si>
  <si>
    <t xml:space="preserve">Net deliverable hours / year</t>
  </si>
  <si>
    <t xml:space="preserve">Annual demand (hours)</t>
  </si>
  <si>
    <t xml:space="preserve">Investor Ready delivery</t>
  </si>
  <si>
    <t xml:space="preserve">Pre-Audit delivery</t>
  </si>
  <si>
    <t xml:space="preserve">Finance Desk retainer delivery (retainer-months)</t>
  </si>
  <si>
    <t xml:space="preserve">Proposals</t>
  </si>
  <si>
    <t xml:space="preserve">Total demand hours / year</t>
  </si>
  <si>
    <t xml:space="preserve">Utilization (demand / net capacity)</t>
  </si>
  <si>
    <t xml:space="preserve">Capacity verdict</t>
  </si>
  <si>
    <t xml:space="preserve">INTERNAL — DO NOT SHARE EXTERNALLY (commercial strategy: named targets + outreach hooks)</t>
  </si>
  <si>
    <t xml:space="preserve">First 5 lead targets</t>
  </si>
  <si>
    <t xml:space="preserve">Use as a live pipeline tracker for the first month</t>
  </si>
  <si>
    <t xml:space="preserve">Lead</t>
  </si>
  <si>
    <t xml:space="preserve">Country</t>
  </si>
  <si>
    <t xml:space="preserve">Trigger signal</t>
  </si>
  <si>
    <t xml:space="preserve">Likely buyer</t>
  </si>
  <si>
    <t xml:space="preserve">Outreach hook</t>
  </si>
  <si>
    <t xml:space="preserve">Status</t>
  </si>
  <si>
    <t xml:space="preserve">Next action</t>
  </si>
  <si>
    <t xml:space="preserve">Source</t>
  </si>
  <si>
    <t xml:space="preserve">Abwaab</t>
  </si>
  <si>
    <t xml:space="preserve">Jordan / Egypt</t>
  </si>
  <si>
    <t xml:space="preserve">Apex Education acquisition; multi-entity consolidation and IFRS 3 accounting</t>
  </si>
  <si>
    <t xml:space="preserve">CFO / Finance Director</t>
  </si>
  <si>
    <t xml:space="preserve">Reference Apex acquisition; offer a 30-minute walk-through of purchase accounting and deferred revenue issues</t>
  </si>
  <si>
    <t xml:space="preserve">Not started</t>
  </si>
  <si>
    <t xml:space="preserve">Find warm intro or finance lead; send tailored LinkedIn message</t>
  </si>
  <si>
    <t xml:space="preserve">Wamda / TechCrunch</t>
  </si>
  <si>
    <t xml:space="preserve">Tamatem Games</t>
  </si>
  <si>
    <t xml:space="preserve">Jordan / Turkey</t>
  </si>
  <si>
    <t xml:space="preserve">Startup CFO / M&amp;A accounting</t>
  </si>
  <si>
    <t xml:space="preserve">Playable Factory acquisition; IAS 21 and IFRS 3 complexity</t>
  </si>
  <si>
    <t xml:space="preserve">CEO / CFO / Finance Director</t>
  </si>
  <si>
    <t xml:space="preserve">Reference Turkey acquisition and audit surprises around functional currency and business combination treatment</t>
  </si>
  <si>
    <t xml:space="preserve">Identify CFO/finance owner; send trigger-based note</t>
  </si>
  <si>
    <t xml:space="preserve">Wamda / PocketGamer</t>
  </si>
  <si>
    <t xml:space="preserve">Liwwa</t>
  </si>
  <si>
    <t xml:space="preserve">Investor Readiness / Fractional Desk</t>
  </si>
  <si>
    <t xml:space="preserve">DFC loan, DFI covenants, Pre-Series B progression, Egypt operations</t>
  </si>
  <si>
    <t xml:space="preserve">Reference DFI reporting covenants and IFRS 9 ECL across Jordan/Egypt</t>
  </si>
  <si>
    <t xml:space="preserve">Seek DFI ecosystem intro; prepare IFRS 9/reporting hook</t>
  </si>
  <si>
    <t xml:space="preserve">Liwwa / IBS Intelligence / MAGNiTT</t>
  </si>
  <si>
    <t xml:space="preserve">WashyWash</t>
  </si>
  <si>
    <t xml:space="preserve">Jordan</t>
  </si>
  <si>
    <t xml:space="preserve">SME Finance Advisory / Investor Readiness</t>
  </si>
  <si>
    <t xml:space="preserve">Founder-led service SME featured as scalable Jordan startup</t>
  </si>
  <si>
    <t xml:space="preserve">Founder / CEO</t>
  </si>
  <si>
    <t xml:space="preserve">Reference Atlantic Council feature; connect finance cleanup to bank facility or next raise</t>
  </si>
  <si>
    <t xml:space="preserve">Send founder-led SME note; offer quick finance-readiness diagnostic</t>
  </si>
  <si>
    <t xml:space="preserve">Atlantic Council / TechRound</t>
  </si>
  <si>
    <t xml:space="preserve">Manara Ventures portfolio</t>
  </si>
  <si>
    <t xml:space="preserve">Fund channel / Investor Readiness</t>
  </si>
  <si>
    <t xml:space="preserve">$70.5M fund launched; 20+ portfolio companies expected</t>
  </si>
  <si>
    <t xml:space="preserve">Partner / Investment Manager</t>
  </si>
  <si>
    <t xml:space="preserve">Offer fixed-scope readiness support for portfolio companies that cannot justify a full-time CFO yet</t>
  </si>
  <si>
    <t xml:space="preserve">Ask for portfolio support/service-provider intro call</t>
  </si>
  <si>
    <t xml:space="preserve">Wamda / Manara Ventures</t>
  </si>
</sst>
</file>

<file path=xl/styles.xml><?xml version="1.0" encoding="utf-8"?>
<styleSheet xmlns="http://schemas.openxmlformats.org/spreadsheetml/2006/main">
  <numFmts count="11">
    <numFmt numFmtId="164" formatCode="General"/>
    <numFmt numFmtId="165" formatCode="\$#,##0"/>
    <numFmt numFmtId="166" formatCode="0%"/>
    <numFmt numFmtId="167" formatCode="#,##0"/>
    <numFmt numFmtId="168" formatCode="0.0%"/>
    <numFmt numFmtId="169" formatCode="\$#,##0"/>
    <numFmt numFmtId="170" formatCode="0.00"/>
    <numFmt numFmtId="171" formatCode="0.000"/>
    <numFmt numFmtId="172" formatCode="#,##0.0"/>
    <numFmt numFmtId="173" formatCode="0"/>
    <numFmt numFmtId="174" formatCode="0.0"/>
  </numFmts>
  <fonts count="23">
    <font>
      <sz val="11"/>
      <color theme="1"/>
      <name val="Calibri"/>
      <family val="2"/>
      <charset val="1"/>
    </font>
    <font>
      <sz val="10"/>
      <name val="Arial"/>
      <family val="0"/>
    </font>
    <font>
      <sz val="10"/>
      <name val="Arial"/>
      <family val="0"/>
    </font>
    <font>
      <sz val="10"/>
      <name val="Arial"/>
      <family val="0"/>
    </font>
    <font>
      <b val="true"/>
      <sz val="18"/>
      <color rgb="FF1F1A17"/>
      <name val="Calibri"/>
      <family val="0"/>
      <charset val="1"/>
    </font>
    <font>
      <sz val="10"/>
      <color rgb="FF6F6860"/>
      <name val="Calibri"/>
      <family val="0"/>
      <charset val="1"/>
    </font>
    <font>
      <sz val="11"/>
      <color rgb="FF1F1A17"/>
      <name val="Calibri"/>
      <family val="0"/>
      <charset val="1"/>
    </font>
    <font>
      <b val="true"/>
      <sz val="11"/>
      <color rgb="FF1B2A4A"/>
      <name val="Arial"/>
      <family val="0"/>
      <charset val="1"/>
    </font>
    <font>
      <sz val="11"/>
      <color rgb="FF000000"/>
      <name val="Arial"/>
      <family val="0"/>
      <charset val="1"/>
    </font>
    <font>
      <sz val="10"/>
      <name val="Arial"/>
      <family val="2"/>
    </font>
    <font>
      <b val="true"/>
      <sz val="11"/>
      <color rgb="FF1F1A17"/>
      <name val="Calibri"/>
      <family val="0"/>
      <charset val="1"/>
    </font>
    <font>
      <sz val="11"/>
      <color rgb="FF0000FF"/>
      <name val="Arial"/>
      <family val="0"/>
      <charset val="1"/>
    </font>
    <font>
      <b val="true"/>
      <sz val="11"/>
      <color rgb="FFFFFFFF"/>
      <name val="Calibri"/>
      <family val="0"/>
      <charset val="1"/>
    </font>
    <font>
      <i val="true"/>
      <sz val="11"/>
      <color rgb="FF4A5568"/>
      <name val="Arial"/>
      <family val="0"/>
      <charset val="1"/>
    </font>
    <font>
      <b val="true"/>
      <sz val="11"/>
      <color rgb="FFFFFFFF"/>
      <name val="Arial"/>
      <family val="0"/>
      <charset val="1"/>
    </font>
    <font>
      <b val="true"/>
      <sz val="12"/>
      <color rgb="FF1B2A4A"/>
      <name val="Arial"/>
      <family val="0"/>
      <charset val="1"/>
    </font>
    <font>
      <sz val="11"/>
      <color rgb="FF008000"/>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A84B2F"/>
      <name val="Calibri"/>
      <family val="0"/>
      <charset val="1"/>
    </font>
    <font>
      <b val="true"/>
      <sz val="14"/>
      <color rgb="FF1B2A4A"/>
      <name val="Arial"/>
      <family val="0"/>
      <charset val="1"/>
    </font>
  </fonts>
  <fills count="9">
    <fill>
      <patternFill patternType="none"/>
    </fill>
    <fill>
      <patternFill patternType="gray125"/>
    </fill>
    <fill>
      <patternFill patternType="solid">
        <fgColor rgb="FFF7F2EA"/>
        <bgColor rgb="FFFFF2CC"/>
      </patternFill>
    </fill>
    <fill>
      <patternFill patternType="solid">
        <fgColor rgb="FFFFFFFF"/>
        <bgColor rgb="FFF7F2EA"/>
      </patternFill>
    </fill>
    <fill>
      <patternFill patternType="solid">
        <fgColor rgb="FFFFFF00"/>
        <bgColor rgb="FFFFFF00"/>
      </patternFill>
    </fill>
    <fill>
      <patternFill patternType="solid">
        <fgColor rgb="FFFFF2CC"/>
        <bgColor rgb="FFF7F2EA"/>
      </patternFill>
    </fill>
    <fill>
      <patternFill patternType="solid">
        <fgColor rgb="FF1F1A17"/>
        <bgColor rgb="FF1B2A4A"/>
      </patternFill>
    </fill>
    <fill>
      <patternFill patternType="solid">
        <fgColor rgb="FF1B2A4A"/>
        <bgColor rgb="FF003366"/>
      </patternFill>
    </fill>
    <fill>
      <patternFill patternType="solid">
        <fgColor rgb="FFA8341F"/>
        <bgColor rgb="FFAA433F"/>
      </patternFill>
    </fill>
  </fills>
  <borders count="3">
    <border diagonalUp="false" diagonalDown="false">
      <left/>
      <right/>
      <top/>
      <bottom/>
      <diagonal/>
    </border>
    <border diagonalUp="false" diagonalDown="false">
      <left/>
      <right/>
      <top/>
      <bottom style="thin">
        <color rgb="FFD9D2C7"/>
      </bottom>
      <diagonal/>
    </border>
    <border diagonalUp="false" diagonalDown="false">
      <left/>
      <right/>
      <top/>
      <bottom style="medium">
        <color rgb="FFA84B2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5" fillId="3" borderId="0" xfId="0" applyFont="true" applyBorder="fals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12" fillId="6" borderId="2"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8" fillId="5" borderId="1" xfId="0" applyFont="true" applyBorder="true" applyAlignment="true" applyProtection="false">
      <alignment horizontal="left" vertical="top" textRotation="0" wrapText="true" indent="0" shrinkToFit="false"/>
      <protection locked="true" hidden="false"/>
    </xf>
    <xf numFmtId="165" fontId="6"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6" fontId="6" fillId="5" borderId="1" xfId="0" applyFont="true" applyBorder="true" applyAlignment="true" applyProtection="false">
      <alignment horizontal="left" vertical="top" textRotation="0" wrapText="tru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7" fontId="6" fillId="5" borderId="1" xfId="0" applyFont="true" applyBorder="true" applyAlignment="true" applyProtection="false">
      <alignment horizontal="left" vertical="top" textRotation="0" wrapText="true" indent="0" shrinkToFit="false"/>
      <protection locked="true" hidden="false"/>
    </xf>
    <xf numFmtId="168" fontId="8" fillId="5" borderId="1" xfId="0" applyFont="true" applyBorder="true" applyAlignment="true" applyProtection="false">
      <alignment horizontal="left" vertical="top" textRotation="0" wrapText="tru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70" fontId="11" fillId="4"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1" fontId="11" fillId="4"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false" applyProtection="false">
      <alignment horizontal="general" vertical="bottom" textRotation="0" wrapText="false" indent="0" shrinkToFit="false"/>
      <protection locked="true" hidden="false"/>
    </xf>
    <xf numFmtId="169" fontId="11" fillId="4" borderId="0" xfId="0" applyFont="true" applyBorder="false" applyAlignment="false" applyProtection="false">
      <alignment horizontal="general" vertical="bottom" textRotation="0" wrapText="false" indent="0" shrinkToFit="false"/>
      <protection locked="true" hidden="false"/>
    </xf>
    <xf numFmtId="172" fontId="6"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9" fontId="16" fillId="3" borderId="1" xfId="0" applyFont="true" applyBorder="true" applyAlignment="true" applyProtection="false">
      <alignment horizontal="left" vertical="top" textRotation="0" wrapText="true" indent="0" shrinkToFit="false"/>
      <protection locked="true" hidden="false"/>
    </xf>
    <xf numFmtId="169" fontId="8" fillId="3" borderId="1" xfId="0" applyFont="true" applyBorder="true" applyAlignment="true" applyProtection="false">
      <alignment horizontal="left" vertical="top" textRotation="0" wrapText="tru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9" fontId="17" fillId="3"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left" vertical="top" textRotation="0" wrapText="true" indent="0" shrinkToFit="false"/>
      <protection locked="true" hidden="false"/>
    </xf>
    <xf numFmtId="164" fontId="21" fillId="3" borderId="0" xfId="0" applyFont="true" applyBorder="false" applyAlignment="true" applyProtection="false">
      <alignment horizontal="left" vertical="top" textRotation="0" wrapText="true" indent="0" shrinkToFit="false"/>
      <protection locked="true" hidden="false"/>
    </xf>
    <xf numFmtId="165" fontId="12" fillId="6" borderId="2" xfId="0" applyFont="true" applyBorder="true" applyAlignment="true" applyProtection="false">
      <alignment horizontal="center" vertical="top" textRotation="0" wrapText="true" indent="0" shrinkToFit="false"/>
      <protection locked="true" hidden="false"/>
    </xf>
    <xf numFmtId="168" fontId="8" fillId="3" borderId="1" xfId="0" applyFont="true" applyBorder="true" applyAlignment="true" applyProtection="false">
      <alignment horizontal="left" vertical="top"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3" fontId="11" fillId="4" borderId="0" xfId="0" applyFont="true" applyBorder="false" applyAlignment="false" applyProtection="false">
      <alignment horizontal="general" vertical="bottom" textRotation="0" wrapText="false" indent="0" shrinkToFit="false"/>
      <protection locked="true" hidden="false"/>
    </xf>
    <xf numFmtId="174" fontId="11" fillId="4"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4" fillId="8"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7A44B"/>
      <rgbColor rgb="FF800080"/>
      <rgbColor rgb="FF4F81BD"/>
      <rgbColor rgb="FFB3B3B3"/>
      <rgbColor rgb="FF878787"/>
      <rgbColor rgb="FF8EA5CA"/>
      <rgbColor rgb="FFAA433F"/>
      <rgbColor rgb="FFFFF2CC"/>
      <rgbColor rgb="FFF7F2EA"/>
      <rgbColor rgb="FF660066"/>
      <rgbColor rgb="FFCC8F8E"/>
      <rgbColor rgb="FF0066CC"/>
      <rgbColor rgb="FFD9D9D9"/>
      <rgbColor rgb="FF000080"/>
      <rgbColor rgb="FFFF00FF"/>
      <rgbColor rgb="FFFFFF00"/>
      <rgbColor rgb="FF00FFFF"/>
      <rgbColor rgb="FF800080"/>
      <rgbColor rgb="FF800000"/>
      <rgbColor rgb="FF6F6860"/>
      <rgbColor rgb="FF0000FF"/>
      <rgbColor rgb="FF00CCFF"/>
      <rgbColor rgb="FFCCFFFF"/>
      <rgbColor rgb="FFD9D2C7"/>
      <rgbColor rgb="FFFFFF99"/>
      <rgbColor rgb="FF8CBFD2"/>
      <rgbColor rgb="FFFF99CC"/>
      <rgbColor rgb="FFCC99FF"/>
      <rgbColor rgb="FFF5B089"/>
      <rgbColor rgb="FF426FA6"/>
      <rgbColor rgb="FF33CCCC"/>
      <rgbColor rgb="FFB3C992"/>
      <rgbColor rgb="FFFFCC00"/>
      <rgbColor rgb="FFDB8238"/>
      <rgbColor rgb="FFC0504D"/>
      <rgbColor rgb="FF6F568D"/>
      <rgbColor rgb="FFA596B9"/>
      <rgbColor rgb="FF003366"/>
      <rgbColor rgb="FF3D97AF"/>
      <rgbColor rgb="FF003300"/>
      <rgbColor rgb="FF1F1A17"/>
      <rgbColor rgb="FFA8341F"/>
      <rgbColor rgb="FFA84B2F"/>
      <rgbColor rgb="FF4A5568"/>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and net cash by month</a:t>
            </a:r>
          </a:p>
        </c:rich>
      </c:tx>
      <c:overlay val="0"/>
      <c:spPr>
        <a:noFill/>
        <a:ln w="0">
          <a:noFill/>
        </a:ln>
      </c:spPr>
    </c:title>
    <c:autoTitleDeleted val="0"/>
    <c:plotArea>
      <c:lineChart>
        <c:grouping val="standard"/>
        <c:varyColors val="0"/>
        <c:ser>
          <c:idx val="0"/>
          <c:order val="0"/>
          <c:spPr>
            <a:solidFill>
              <a:srgbClr val="426fa6"/>
            </a:solidFill>
            <a:ln w="28440">
              <a:solidFill>
                <a:srgbClr val="426fa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Model'!$C$17:$C$19</c:f>
              <c:numCache>
                <c:formatCode>\$#,##0</c:formatCode>
                <c:ptCount val="3"/>
                <c:pt idx="0">
                  <c:v>361.96875</c:v>
                </c:pt>
                <c:pt idx="1">
                  <c:v>0</c:v>
                </c:pt>
                <c:pt idx="2">
                  <c:v>1923.75</c:v>
                </c:pt>
              </c:numCache>
            </c:numRef>
          </c:val>
          <c:smooth val="1"/>
        </c:ser>
        <c:ser>
          <c:idx val="1"/>
          <c:order val="1"/>
          <c:spPr>
            <a:solidFill>
              <a:srgbClr val="aa433f"/>
            </a:solidFill>
            <a:ln w="28440">
              <a:solidFill>
                <a:srgbClr val="aa433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Model'!$D$17:$D$19</c:f>
              <c:numCache>
                <c:formatCode>\$#,##0</c:formatCode>
                <c:ptCount val="3"/>
                <c:pt idx="0">
                  <c:v>361.96875</c:v>
                </c:pt>
                <c:pt idx="1">
                  <c:v>361.96875</c:v>
                </c:pt>
                <c:pt idx="2">
                  <c:v>3847.5</c:v>
                </c:pt>
              </c:numCache>
            </c:numRef>
          </c:val>
          <c:smooth val="1"/>
        </c:ser>
        <c:ser>
          <c:idx val="2"/>
          <c:order val="2"/>
          <c:spPr>
            <a:solidFill>
              <a:srgbClr val="87a44b"/>
            </a:solidFill>
            <a:ln w="28440">
              <a:solidFill>
                <a:srgbClr val="87a44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Model'!$E$17:$E$19</c:f>
              <c:numCache>
                <c:formatCode>\$#,##0</c:formatCode>
                <c:ptCount val="3"/>
                <c:pt idx="0">
                  <c:v>514.8</c:v>
                </c:pt>
                <c:pt idx="1">
                  <c:v>723.9375</c:v>
                </c:pt>
                <c:pt idx="2">
                  <c:v>4659.75</c:v>
                </c:pt>
              </c:numCache>
            </c:numRef>
          </c:val>
          <c:smooth val="1"/>
        </c:ser>
        <c:ser>
          <c:idx val="3"/>
          <c:order val="3"/>
          <c:spPr>
            <a:solidFill>
              <a:srgbClr val="6f568d"/>
            </a:solidFill>
            <a:ln w="28440">
              <a:solidFill>
                <a:srgbClr val="6f568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Model'!$F$17:$F$19</c:f>
              <c:numCache>
                <c:formatCode>\$#,##0</c:formatCode>
                <c:ptCount val="3"/>
                <c:pt idx="0">
                  <c:v>540</c:v>
                </c:pt>
                <c:pt idx="1">
                  <c:v>1238.7375</c:v>
                </c:pt>
                <c:pt idx="2">
                  <c:v>5356.8</c:v>
                </c:pt>
              </c:numCache>
            </c:numRef>
          </c:val>
          <c:smooth val="1"/>
        </c:ser>
        <c:ser>
          <c:idx val="4"/>
          <c:order val="4"/>
          <c:spPr>
            <a:solidFill>
              <a:srgbClr val="3d97af"/>
            </a:solidFill>
            <a:ln w="28440">
              <a:solidFill>
                <a:srgbClr val="3d97af"/>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Model'!$G$17:$G$19</c:f>
              <c:numCache>
                <c:formatCode>\$#,##0</c:formatCode>
                <c:ptCount val="3"/>
                <c:pt idx="0">
                  <c:v>688.5</c:v>
                </c:pt>
                <c:pt idx="1">
                  <c:v>1778.7375</c:v>
                </c:pt>
                <c:pt idx="2">
                  <c:v>5962.32</c:v>
                </c:pt>
              </c:numCache>
            </c:numRef>
          </c:val>
          <c:smooth val="1"/>
        </c:ser>
        <c:ser>
          <c:idx val="5"/>
          <c:order val="5"/>
          <c:spPr>
            <a:solidFill>
              <a:srgbClr val="db8238"/>
            </a:solidFill>
            <a:ln w="28440">
              <a:solidFill>
                <a:srgbClr val="db823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Model'!$H$17:$H$19</c:f>
              <c:numCache>
                <c:formatCode>\$#,##0</c:formatCode>
                <c:ptCount val="3"/>
                <c:pt idx="0">
                  <c:v>711.45</c:v>
                </c:pt>
                <c:pt idx="1">
                  <c:v>2467.2375</c:v>
                </c:pt>
                <c:pt idx="2">
                  <c:v>6784.02</c:v>
                </c:pt>
              </c:numCache>
            </c:numRef>
          </c:val>
          <c:smooth val="1"/>
        </c:ser>
        <c:ser>
          <c:idx val="6"/>
          <c:order val="6"/>
          <c:spPr>
            <a:solidFill>
              <a:srgbClr val="8ea5ca"/>
            </a:solidFill>
            <a:ln w="28440">
              <a:solidFill>
                <a:srgbClr val="8ea5ca"/>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Model'!$I$17:$I$19</c:f>
              <c:numCache>
                <c:formatCode>\$#,##0</c:formatCode>
                <c:ptCount val="3"/>
                <c:pt idx="0">
                  <c:v>843.696</c:v>
                </c:pt>
                <c:pt idx="1">
                  <c:v>3178.6875</c:v>
                </c:pt>
                <c:pt idx="2">
                  <c:v>7524.9</c:v>
                </c:pt>
              </c:numCache>
            </c:numRef>
          </c:val>
          <c:smooth val="1"/>
        </c:ser>
        <c:ser>
          <c:idx val="7"/>
          <c:order val="7"/>
          <c:spPr>
            <a:solidFill>
              <a:srgbClr val="cc8f8e"/>
            </a:solidFill>
            <a:ln w="28440">
              <a:solidFill>
                <a:srgbClr val="cc8f8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Model'!$J$17:$J$19</c:f>
              <c:numCache>
                <c:formatCode>\$#,##0</c:formatCode>
                <c:ptCount val="3"/>
                <c:pt idx="0">
                  <c:v>923.4</c:v>
                </c:pt>
                <c:pt idx="1">
                  <c:v>4022.3835</c:v>
                </c:pt>
                <c:pt idx="2">
                  <c:v>8347.05</c:v>
                </c:pt>
              </c:numCache>
            </c:numRef>
          </c:val>
          <c:smooth val="1"/>
        </c:ser>
        <c:ser>
          <c:idx val="8"/>
          <c:order val="8"/>
          <c:spPr>
            <a:solidFill>
              <a:srgbClr val="b3c992"/>
            </a:solidFill>
            <a:ln w="28440">
              <a:solidFill>
                <a:srgbClr val="b3c99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Model'!$K$17:$K$19</c:f>
              <c:numCache>
                <c:formatCode>\$#,##0</c:formatCode>
                <c:ptCount val="3"/>
                <c:pt idx="0">
                  <c:v>1039.68</c:v>
                </c:pt>
                <c:pt idx="1">
                  <c:v>4945.7835</c:v>
                </c:pt>
                <c:pt idx="2">
                  <c:v>9066.33</c:v>
                </c:pt>
              </c:numCache>
            </c:numRef>
          </c:val>
          <c:smooth val="1"/>
        </c:ser>
        <c:ser>
          <c:idx val="9"/>
          <c:order val="9"/>
          <c:spPr>
            <a:solidFill>
              <a:srgbClr val="a596b9"/>
            </a:solidFill>
            <a:ln w="28440">
              <a:solidFill>
                <a:srgbClr val="a596b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Model'!$L$17:$L$19</c:f>
              <c:numCache>
                <c:formatCode>\$#,##0</c:formatCode>
                <c:ptCount val="3"/>
                <c:pt idx="0">
                  <c:v>1168.614</c:v>
                </c:pt>
                <c:pt idx="1">
                  <c:v>5985.4635</c:v>
                </c:pt>
                <c:pt idx="2">
                  <c:v>9758.115</c:v>
                </c:pt>
              </c:numCache>
            </c:numRef>
          </c:val>
          <c:smooth val="1"/>
        </c:ser>
        <c:ser>
          <c:idx val="10"/>
          <c:order val="10"/>
          <c:spPr>
            <a:solidFill>
              <a:srgbClr val="8cbfd2"/>
            </a:solidFill>
            <a:ln w="28440">
              <a:solidFill>
                <a:srgbClr val="8cbfd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Model'!$M$17:$M$19</c:f>
              <c:numCache>
                <c:formatCode>\$#,##0</c:formatCode>
                <c:ptCount val="3"/>
                <c:pt idx="0">
                  <c:v>1302.48</c:v>
                </c:pt>
                <c:pt idx="1">
                  <c:v>7154.0775</c:v>
                </c:pt>
                <c:pt idx="2">
                  <c:v>10480.635</c:v>
                </c:pt>
              </c:numCache>
            </c:numRef>
          </c:val>
          <c:smooth val="1"/>
        </c:ser>
        <c:ser>
          <c:idx val="11"/>
          <c:order val="11"/>
          <c:spPr>
            <a:solidFill>
              <a:srgbClr val="f5b089"/>
            </a:solidFill>
            <a:ln w="28440">
              <a:solidFill>
                <a:srgbClr val="f5b08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 Model'!$C$5:$N$5</c:f>
              <c:multiLvlStrCache>
                <c:ptCount val="1"/>
                <c:lvl>
                  <c:pt idx="0">
                    <c:v>Month 12</c:v>
                  </c:pt>
                </c:lvl>
                <c:lvl>
                  <c:pt idx="0">
                    <c:v>Month 11</c:v>
                  </c:pt>
                </c:lvl>
                <c:lvl>
                  <c:pt idx="0">
                    <c:v>Month 10</c:v>
                  </c:pt>
                </c:lvl>
                <c:lvl>
                  <c:pt idx="0">
                    <c:v>Month 9</c:v>
                  </c:pt>
                </c:lvl>
                <c:lvl>
                  <c:pt idx="0">
                    <c:v>Month 8</c:v>
                  </c:pt>
                </c:lvl>
                <c:lvl>
                  <c:pt idx="0">
                    <c:v>Month 7</c:v>
                  </c:pt>
                </c:lvl>
                <c:lvl>
                  <c:pt idx="0">
                    <c:v>Month 6</c:v>
                  </c:pt>
                </c:lvl>
                <c:lvl>
                  <c:pt idx="0">
                    <c:v>Month 5</c:v>
                  </c:pt>
                </c:lvl>
                <c:lvl>
                  <c:pt idx="0">
                    <c:v>Month 4</c:v>
                  </c:pt>
                </c:lvl>
                <c:lvl>
                  <c:pt idx="0">
                    <c:v>Month 3</c:v>
                  </c:pt>
                </c:lvl>
                <c:lvl>
                  <c:pt idx="0">
                    <c:v>Month 2</c:v>
                  </c:pt>
                </c:lvl>
                <c:lvl>
                  <c:pt idx="0">
                    <c:v>Month 1</c:v>
                  </c:pt>
                </c:lvl>
              </c:multiLvlStrCache>
            </c:multiLvlStrRef>
          </c:cat>
          <c:val>
            <c:numRef>
              <c:f>'Revenue Model'!$N$17:$N$19</c:f>
              <c:numCache>
                <c:formatCode>\$#,##0</c:formatCode>
                <c:ptCount val="3"/>
                <c:pt idx="0">
                  <c:v>1487.7</c:v>
                </c:pt>
                <c:pt idx="1">
                  <c:v>8456.5575</c:v>
                </c:pt>
                <c:pt idx="2">
                  <c:v>11098.8</c:v>
                </c:pt>
              </c:numCache>
            </c:numRef>
          </c:val>
          <c:smooth val="1"/>
        </c:ser>
        <c:hiLowLines>
          <c:spPr>
            <a:ln w="0">
              <a:noFill/>
            </a:ln>
          </c:spPr>
        </c:hiLowLines>
        <c:marker val="0"/>
        <c:axId val="25179862"/>
        <c:axId val="86158196"/>
      </c:lineChart>
      <c:catAx>
        <c:axId val="2517986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158196"/>
        <c:crosses val="autoZero"/>
        <c:auto val="1"/>
        <c:lblAlgn val="ctr"/>
        <c:lblOffset val="100"/>
        <c:noMultiLvlLbl val="0"/>
      </c:catAx>
      <c:valAx>
        <c:axId val="861581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1798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Gross Revenue vs Net Cash (Base)</a:t>
            </a:r>
          </a:p>
        </c:rich>
      </c:tx>
      <c:overlay val="0"/>
      <c:spPr>
        <a:noFill/>
        <a:ln w="0">
          <a:noFill/>
        </a:ln>
      </c:spPr>
    </c:title>
    <c:autoTitleDeleted val="0"/>
    <c:plotArea>
      <c:barChart>
        <c:barDir val="col"/>
        <c:grouping val="clustered"/>
        <c:varyColors val="0"/>
        <c:ser>
          <c:idx val="0"/>
          <c:order val="0"/>
          <c:tx>
            <c:strRef>
              <c:f>'Revenue Model'!B17</c:f>
              <c:strCache>
                <c:ptCount val="1"/>
                <c:pt idx="0">
                  <c:v>New monthly retainer revenue</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Model'!$C$5:$N$5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'Revenue Model'!$C$17:$N$17</c:f>
              <c:numCache>
                <c:formatCode>\$#,##0</c:formatCode>
                <c:ptCount val="12"/>
                <c:pt idx="0">
                  <c:v>361.96875</c:v>
                </c:pt>
                <c:pt idx="1">
                  <c:v>361.96875</c:v>
                </c:pt>
                <c:pt idx="2">
                  <c:v>514.8</c:v>
                </c:pt>
                <c:pt idx="3">
                  <c:v>540</c:v>
                </c:pt>
                <c:pt idx="4">
                  <c:v>688.5</c:v>
                </c:pt>
                <c:pt idx="5">
                  <c:v>711.45</c:v>
                </c:pt>
                <c:pt idx="6">
                  <c:v>843.696</c:v>
                </c:pt>
                <c:pt idx="7">
                  <c:v>923.4</c:v>
                </c:pt>
                <c:pt idx="8">
                  <c:v>1039.68</c:v>
                </c:pt>
                <c:pt idx="9">
                  <c:v>1168.614</c:v>
                </c:pt>
                <c:pt idx="10">
                  <c:v>1302.48</c:v>
                </c:pt>
                <c:pt idx="11">
                  <c:v>1487.7</c:v>
                </c:pt>
              </c:numCache>
            </c:numRef>
          </c:val>
        </c:ser>
        <c:ser>
          <c:idx val="1"/>
          <c:order val="1"/>
          <c:tx>
            <c:strRef>
              <c:f>'Revenue Model'!B19</c:f>
              <c:strCache>
                <c:ptCount val="1"/>
                <c:pt idx="0">
                  <c:v>Project cash collected (subtotal)</c:v>
                </c:pt>
              </c:strCache>
            </c:strRef>
          </c:tx>
          <c:spPr>
            <a:solidFill>
              <a:srgbClr val="c0504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Model'!$C$5:$N$5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'Revenue Model'!$C$19:$N$19</c:f>
              <c:numCache>
                <c:formatCode>\$#,##0</c:formatCode>
                <c:ptCount val="12"/>
                <c:pt idx="0">
                  <c:v>1923.75</c:v>
                </c:pt>
                <c:pt idx="1">
                  <c:v>3847.5</c:v>
                </c:pt>
                <c:pt idx="2">
                  <c:v>4659.75</c:v>
                </c:pt>
                <c:pt idx="3">
                  <c:v>5356.8</c:v>
                </c:pt>
                <c:pt idx="4">
                  <c:v>5962.32</c:v>
                </c:pt>
                <c:pt idx="5">
                  <c:v>6784.02</c:v>
                </c:pt>
                <c:pt idx="6">
                  <c:v>7524.9</c:v>
                </c:pt>
                <c:pt idx="7">
                  <c:v>8347.05</c:v>
                </c:pt>
                <c:pt idx="8">
                  <c:v>9066.33</c:v>
                </c:pt>
                <c:pt idx="9">
                  <c:v>9758.115</c:v>
                </c:pt>
                <c:pt idx="10">
                  <c:v>10480.635</c:v>
                </c:pt>
                <c:pt idx="11">
                  <c:v>11098.8</c:v>
                </c:pt>
              </c:numCache>
            </c:numRef>
          </c:val>
        </c:ser>
        <c:gapWidth val="150"/>
        <c:overlap val="0"/>
        <c:axId val="55744054"/>
        <c:axId val="5369607"/>
      </c:barChart>
      <c:lineChart>
        <c:grouping val="standard"/>
        <c:varyColors val="0"/>
        <c:ser>
          <c:idx val="2"/>
          <c:order val="2"/>
          <c:tx>
            <c:strRef>
              <c:f>'Revenue Model'!B20</c:f>
              <c:strCache>
                <c:ptCount val="1"/>
                <c:pt idx="0">
                  <c:v>Recurring retainer revenue (subtotal)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Model'!$C$5:$N$5</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'Revenue Model'!$C$20:$N$20</c:f>
              <c:numCache>
                <c:formatCode>\$#,##0</c:formatCode>
                <c:ptCount val="12"/>
                <c:pt idx="0">
                  <c:v>361.96875</c:v>
                </c:pt>
                <c:pt idx="1">
                  <c:v>723.9375</c:v>
                </c:pt>
                <c:pt idx="2">
                  <c:v>1238.7375</c:v>
                </c:pt>
                <c:pt idx="3">
                  <c:v>1778.7375</c:v>
                </c:pt>
                <c:pt idx="4">
                  <c:v>2467.2375</c:v>
                </c:pt>
                <c:pt idx="5">
                  <c:v>3178.6875</c:v>
                </c:pt>
                <c:pt idx="6">
                  <c:v>4022.3835</c:v>
                </c:pt>
                <c:pt idx="7">
                  <c:v>4945.7835</c:v>
                </c:pt>
                <c:pt idx="8">
                  <c:v>5985.4635</c:v>
                </c:pt>
                <c:pt idx="9">
                  <c:v>7154.0775</c:v>
                </c:pt>
                <c:pt idx="10">
                  <c:v>8456.5575</c:v>
                </c:pt>
                <c:pt idx="11">
                  <c:v>9944.2575</c:v>
                </c:pt>
              </c:numCache>
            </c:numRef>
          </c:val>
          <c:smooth val="1"/>
        </c:ser>
        <c:hiLowLines>
          <c:spPr>
            <a:ln w="0">
              <a:noFill/>
            </a:ln>
          </c:spPr>
        </c:hiLowLines>
        <c:marker val="0"/>
        <c:axId val="45174075"/>
        <c:axId val="31727823"/>
      </c:lineChart>
      <c:catAx>
        <c:axId val="5574405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369607"/>
        <c:crosses val="autoZero"/>
        <c:auto val="1"/>
        <c:lblAlgn val="ctr"/>
        <c:lblOffset val="100"/>
        <c:noMultiLvlLbl val="0"/>
      </c:catAx>
      <c:valAx>
        <c:axId val="5369607"/>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744054"/>
        <c:crosses val="autoZero"/>
        <c:crossBetween val="between"/>
      </c:valAx>
      <c:catAx>
        <c:axId val="45174075"/>
        <c:scaling>
          <c:orientation val="minMax"/>
        </c:scaling>
        <c:delete val="0"/>
        <c:axPos val="t"/>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727823"/>
        <c:crosses val="autoZero"/>
        <c:auto val="1"/>
        <c:lblAlgn val="ctr"/>
        <c:lblOffset val="100"/>
        <c:noMultiLvlLbl val="0"/>
      </c:catAx>
      <c:valAx>
        <c:axId val="31727823"/>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Cumulative USD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5174075"/>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19</xdr:row>
      <xdr:rowOff>81360</xdr:rowOff>
    </xdr:from>
    <xdr:to>
      <xdr:col>5</xdr:col>
      <xdr:colOff>1050840</xdr:colOff>
      <xdr:row>32</xdr:row>
      <xdr:rowOff>123120</xdr:rowOff>
    </xdr:to>
    <xdr:graphicFrame>
      <xdr:nvGraphicFramePr>
        <xdr:cNvPr id="0" name="Chart 1"/>
        <xdr:cNvGraphicFramePr/>
      </xdr:nvGraphicFramePr>
      <xdr:xfrm>
        <a:off x="211320" y="4215240"/>
        <a:ext cx="6478200" cy="251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22</xdr:row>
      <xdr:rowOff>0</xdr:rowOff>
    </xdr:from>
    <xdr:to>
      <xdr:col>6</xdr:col>
      <xdr:colOff>714240</xdr:colOff>
      <xdr:row>37</xdr:row>
      <xdr:rowOff>21240</xdr:rowOff>
    </xdr:to>
    <xdr:graphicFrame>
      <xdr:nvGraphicFramePr>
        <xdr:cNvPr id="1" name="Chart 2"/>
        <xdr:cNvGraphicFramePr/>
      </xdr:nvGraphicFramePr>
      <xdr:xfrm>
        <a:off x="211320" y="4705200"/>
        <a:ext cx="719892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95"/>
  </cols>
  <sheetData>
    <row r="1" customFormat="false" ht="18" hidden="false" customHeight="true" outlineLevel="0" collapsed="false"/>
    <row r="2" customFormat="false" ht="44.25" hidden="false" customHeight="true" outlineLevel="0" collapsed="false">
      <c r="B2" s="2" t="s">
        <v>0</v>
      </c>
    </row>
    <row r="3" customFormat="false" ht="34.5" hidden="false" customHeight="true" outlineLevel="0" collapsed="false">
      <c r="B3" s="3" t="s">
        <v>1</v>
      </c>
    </row>
    <row r="5" customFormat="false" ht="27.75" hidden="false" customHeight="true" outlineLevel="0" collapsed="false">
      <c r="B5" s="4" t="s">
        <v>2</v>
      </c>
      <c r="C5" s="4" t="s">
        <v>3</v>
      </c>
    </row>
    <row r="6" customFormat="false" ht="15" hidden="false" customHeight="true" outlineLevel="0" collapsed="false">
      <c r="B6" s="4" t="s">
        <v>4</v>
      </c>
      <c r="C6" s="4" t="s">
        <v>5</v>
      </c>
    </row>
    <row r="7" customFormat="false" ht="27.75" hidden="false" customHeight="true" outlineLevel="0" collapsed="false">
      <c r="B7" s="4" t="s">
        <v>6</v>
      </c>
      <c r="C7" s="4" t="s">
        <v>7</v>
      </c>
    </row>
    <row r="8" customFormat="false" ht="15" hidden="false" customHeight="true" outlineLevel="0" collapsed="false">
      <c r="B8" s="4" t="s">
        <v>8</v>
      </c>
      <c r="C8" s="4" t="s">
        <v>9</v>
      </c>
    </row>
    <row r="9" customFormat="false" ht="27.75" hidden="false" customHeight="true" outlineLevel="0" collapsed="false">
      <c r="B9" s="4" t="s">
        <v>10</v>
      </c>
      <c r="C9" s="4" t="s">
        <v>11</v>
      </c>
    </row>
    <row r="11" customFormat="false" ht="15" hidden="false" customHeight="false" outlineLevel="0" collapsed="false">
      <c r="B11" s="5" t="s">
        <v>12</v>
      </c>
    </row>
    <row r="12" customFormat="false" ht="15" hidden="false" customHeight="false" outlineLevel="0" collapsed="false">
      <c r="C12" s="6" t="s">
        <v>13</v>
      </c>
    </row>
    <row r="13" customFormat="false" ht="15" hidden="false" customHeight="false" outlineLevel="0" collapsed="false">
      <c r="C13" s="6" t="s">
        <v>14</v>
      </c>
    </row>
    <row r="14" customFormat="false" ht="15" hidden="false" customHeight="false" outlineLevel="0" collapsed="false">
      <c r="C14" s="6" t="s">
        <v>15</v>
      </c>
    </row>
    <row r="15" customFormat="false" ht="15" hidden="false" customHeight="false" outlineLevel="0" collapsed="false">
      <c r="C15" s="6" t="s">
        <v>16</v>
      </c>
    </row>
    <row r="16" customFormat="false" ht="15" hidden="false" customHeight="false" outlineLevel="0" collapsed="false">
      <c r="C16" s="6" t="s">
        <v>17</v>
      </c>
    </row>
    <row r="17" customFormat="false" ht="15" hidden="false" customHeight="false" outlineLevel="0" collapsed="false">
      <c r="C17" s="6" t="s">
        <v>18</v>
      </c>
    </row>
    <row r="18" customFormat="false" ht="15" hidden="false" customHeight="false" outlineLevel="0" collapsed="false">
      <c r="C18" s="6" t="s">
        <v>19</v>
      </c>
    </row>
    <row r="19" customFormat="false" ht="15" hidden="false" customHeight="false" outlineLevel="0" collapsed="false">
      <c r="C19" s="6"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14" min="3" style="1" width="15"/>
    <col collapsed="false" customWidth="true" hidden="false" outlineLevel="0" max="16" min="16" style="1" width="12"/>
  </cols>
  <sheetData>
    <row r="1" customFormat="false" ht="18" hidden="false" customHeight="true" outlineLevel="0" collapsed="false"/>
    <row r="2" customFormat="false" ht="22.5" hidden="false" customHeight="true" outlineLevel="0" collapsed="false">
      <c r="B2" s="2" t="s">
        <v>21</v>
      </c>
    </row>
    <row r="3" customFormat="false" ht="23.25" hidden="false" customHeight="true" outlineLevel="0" collapsed="false">
      <c r="B3" s="3" t="s">
        <v>22</v>
      </c>
    </row>
    <row r="5" customFormat="false" ht="15" hidden="false" customHeight="true" outlineLevel="0" collapsed="false">
      <c r="B5" s="7" t="s">
        <v>23</v>
      </c>
      <c r="C5" s="8" t="s">
        <v>24</v>
      </c>
    </row>
    <row r="6" customFormat="false" ht="81.75" hidden="false" customHeight="true" outlineLevel="0" collapsed="false">
      <c r="B6" s="7" t="s">
        <v>25</v>
      </c>
      <c r="C6" s="9" t="s">
        <v>26</v>
      </c>
    </row>
    <row r="9" customFormat="false" ht="27.75" hidden="false" customHeight="true" outlineLevel="0" collapsed="false">
      <c r="B9" s="10" t="s">
        <v>27</v>
      </c>
      <c r="C9" s="10" t="s">
        <v>28</v>
      </c>
      <c r="D9" s="10" t="s">
        <v>29</v>
      </c>
      <c r="E9" s="10" t="s">
        <v>30</v>
      </c>
      <c r="F9" s="10" t="s">
        <v>31</v>
      </c>
      <c r="G9" s="10" t="s">
        <v>32</v>
      </c>
      <c r="H9" s="10" t="s">
        <v>33</v>
      </c>
      <c r="I9" s="10" t="s">
        <v>34</v>
      </c>
      <c r="P9" s="11" t="s">
        <v>35</v>
      </c>
    </row>
    <row r="10" customFormat="false" ht="41.25" hidden="false" customHeight="true" outlineLevel="0" collapsed="false">
      <c r="B10" s="4" t="s">
        <v>36</v>
      </c>
      <c r="C10" s="4" t="s">
        <v>37</v>
      </c>
      <c r="D10" s="12" t="n">
        <f aca="false">P10*$C$43</f>
        <v>12500</v>
      </c>
      <c r="E10" s="13" t="n">
        <v>9000</v>
      </c>
      <c r="F10" s="13" t="n">
        <v>16000</v>
      </c>
      <c r="G10" s="14" t="n">
        <v>4</v>
      </c>
      <c r="H10" s="15" t="n">
        <v>0.25</v>
      </c>
      <c r="I10" s="13" t="n">
        <v>3000</v>
      </c>
      <c r="P10" s="16" t="n">
        <v>12500</v>
      </c>
    </row>
    <row r="11" customFormat="false" ht="27.75" hidden="false" customHeight="true" outlineLevel="0" collapsed="false">
      <c r="B11" s="4" t="s">
        <v>38</v>
      </c>
      <c r="C11" s="4" t="s">
        <v>39</v>
      </c>
      <c r="D11" s="12" t="n">
        <f aca="false">P11*$C$43</f>
        <v>7500</v>
      </c>
      <c r="E11" s="13" t="n">
        <v>5000</v>
      </c>
      <c r="F11" s="13" t="n">
        <v>10000</v>
      </c>
      <c r="G11" s="14" t="n">
        <v>3</v>
      </c>
      <c r="H11" s="15" t="n">
        <v>0.15</v>
      </c>
      <c r="I11" s="13" t="n">
        <v>2500</v>
      </c>
      <c r="P11" s="16" t="n">
        <v>7500</v>
      </c>
    </row>
    <row r="12" customFormat="false" ht="27.75" hidden="false" customHeight="true" outlineLevel="0" collapsed="false">
      <c r="B12" s="4" t="s">
        <v>40</v>
      </c>
      <c r="C12" s="4" t="s">
        <v>41</v>
      </c>
      <c r="D12" s="12" t="n">
        <f aca="false">P12*$C$43</f>
        <v>0</v>
      </c>
      <c r="E12" s="13" t="n">
        <v>0</v>
      </c>
      <c r="F12" s="13" t="n">
        <v>0</v>
      </c>
      <c r="G12" s="14" t="n">
        <v>12</v>
      </c>
      <c r="H12" s="15" t="n">
        <v>1</v>
      </c>
      <c r="I12" s="13" t="n">
        <v>3500</v>
      </c>
      <c r="P12" s="16" t="n">
        <v>0</v>
      </c>
    </row>
    <row r="16" customFormat="false" ht="15" hidden="false" customHeight="true" outlineLevel="0" collapsed="false">
      <c r="B16" s="10" t="s">
        <v>42</v>
      </c>
      <c r="C16" s="10" t="s">
        <v>43</v>
      </c>
      <c r="D16" s="10" t="s">
        <v>44</v>
      </c>
      <c r="E16" s="10" t="s">
        <v>45</v>
      </c>
      <c r="F16" s="10" t="s">
        <v>46</v>
      </c>
      <c r="G16" s="10" t="s">
        <v>47</v>
      </c>
      <c r="H16" s="10" t="s">
        <v>48</v>
      </c>
      <c r="I16" s="10" t="s">
        <v>49</v>
      </c>
      <c r="J16" s="10" t="s">
        <v>50</v>
      </c>
      <c r="K16" s="10" t="s">
        <v>51</v>
      </c>
      <c r="L16" s="10" t="s">
        <v>52</v>
      </c>
      <c r="M16" s="10" t="s">
        <v>53</v>
      </c>
      <c r="N16" s="10" t="s">
        <v>54</v>
      </c>
    </row>
    <row r="17" customFormat="false" ht="15" hidden="false" customHeight="true" outlineLevel="0" collapsed="false">
      <c r="B17" s="4" t="s">
        <v>55</v>
      </c>
      <c r="C17" s="17" t="n">
        <v>15</v>
      </c>
      <c r="D17" s="17" t="n">
        <v>18</v>
      </c>
      <c r="E17" s="17" t="n">
        <v>20</v>
      </c>
      <c r="F17" s="17" t="n">
        <v>22</v>
      </c>
      <c r="G17" s="17" t="n">
        <v>24</v>
      </c>
      <c r="H17" s="17" t="n">
        <v>26</v>
      </c>
      <c r="I17" s="17" t="n">
        <v>28</v>
      </c>
      <c r="J17" s="17" t="n">
        <v>30</v>
      </c>
      <c r="K17" s="17" t="n">
        <v>32</v>
      </c>
      <c r="L17" s="17" t="n">
        <v>34</v>
      </c>
      <c r="M17" s="17" t="n">
        <v>36</v>
      </c>
      <c r="N17" s="17" t="n">
        <v>38</v>
      </c>
    </row>
    <row r="18" customFormat="false" ht="15" hidden="false" customHeight="true" outlineLevel="0" collapsed="false">
      <c r="B18" s="4" t="s">
        <v>56</v>
      </c>
      <c r="C18" s="15" t="n">
        <v>0.2</v>
      </c>
      <c r="D18" s="15" t="n">
        <v>0.2</v>
      </c>
      <c r="E18" s="15" t="n">
        <v>0.2</v>
      </c>
      <c r="F18" s="15" t="n">
        <v>0.2</v>
      </c>
      <c r="G18" s="15" t="n">
        <v>0.2</v>
      </c>
      <c r="H18" s="15" t="n">
        <v>0.2</v>
      </c>
      <c r="I18" s="15" t="n">
        <v>0.2</v>
      </c>
      <c r="J18" s="15" t="n">
        <v>0.2</v>
      </c>
      <c r="K18" s="15" t="n">
        <v>0.2</v>
      </c>
      <c r="L18" s="15" t="n">
        <v>0.2</v>
      </c>
      <c r="M18" s="15" t="n">
        <v>0.2</v>
      </c>
      <c r="N18" s="15" t="n">
        <v>0.2</v>
      </c>
    </row>
    <row r="19" customFormat="false" ht="15" hidden="false" customHeight="true" outlineLevel="0" collapsed="false">
      <c r="B19" s="4" t="s">
        <v>57</v>
      </c>
      <c r="C19" s="15" t="n">
        <v>0.45</v>
      </c>
      <c r="D19" s="15" t="n">
        <v>0.45</v>
      </c>
      <c r="E19" s="15" t="n">
        <v>0.45</v>
      </c>
      <c r="F19" s="15" t="n">
        <v>0.45</v>
      </c>
      <c r="G19" s="15" t="n">
        <v>0.45</v>
      </c>
      <c r="H19" s="15" t="n">
        <v>0.45</v>
      </c>
      <c r="I19" s="15" t="n">
        <v>0.45</v>
      </c>
      <c r="J19" s="15" t="n">
        <v>0.45</v>
      </c>
      <c r="K19" s="15" t="n">
        <v>0.45</v>
      </c>
      <c r="L19" s="15" t="n">
        <v>0.45</v>
      </c>
      <c r="M19" s="15" t="n">
        <v>0.45</v>
      </c>
      <c r="N19" s="15" t="n">
        <v>0.45</v>
      </c>
    </row>
    <row r="20" customFormat="false" ht="15" hidden="false" customHeight="true" outlineLevel="0" collapsed="false">
      <c r="B20" s="4" t="s">
        <v>58</v>
      </c>
      <c r="C20" s="18" t="n">
        <f aca="false">C46*$C$42</f>
        <v>0.3</v>
      </c>
      <c r="D20" s="18" t="n">
        <f aca="false">D46*$C$42</f>
        <v>0.3</v>
      </c>
      <c r="E20" s="18" t="n">
        <f aca="false">E46*$C$42</f>
        <v>0.32</v>
      </c>
      <c r="F20" s="18" t="n">
        <f aca="false">F46*$C$42</f>
        <v>0.32</v>
      </c>
      <c r="G20" s="18" t="n">
        <f aca="false">G46*$C$42</f>
        <v>0.34</v>
      </c>
      <c r="H20" s="18" t="n">
        <f aca="false">H46*$C$42</f>
        <v>0.34</v>
      </c>
      <c r="I20" s="18" t="n">
        <f aca="false">I46*$C$42</f>
        <v>0.36</v>
      </c>
      <c r="J20" s="18" t="n">
        <f aca="false">J46*$C$42</f>
        <v>0.36</v>
      </c>
      <c r="K20" s="18" t="n">
        <f aca="false">K46*$C$42</f>
        <v>0.38</v>
      </c>
      <c r="L20" s="18" t="n">
        <f aca="false">L46*$C$42</f>
        <v>0.38</v>
      </c>
      <c r="M20" s="18" t="n">
        <f aca="false">M46*$C$42</f>
        <v>0.4</v>
      </c>
      <c r="N20" s="18" t="n">
        <f aca="false">N46*$C$42</f>
        <v>0.4</v>
      </c>
    </row>
    <row r="21" customFormat="false" ht="15" hidden="false" customHeight="true" outlineLevel="0" collapsed="false">
      <c r="B21" s="4" t="s">
        <v>59</v>
      </c>
      <c r="C21" s="15" t="n">
        <v>0.55</v>
      </c>
      <c r="D21" s="15" t="n">
        <v>0.55</v>
      </c>
      <c r="E21" s="15" t="n">
        <v>0.55</v>
      </c>
      <c r="F21" s="15" t="n">
        <v>0.5</v>
      </c>
      <c r="G21" s="15" t="n">
        <v>0.5</v>
      </c>
      <c r="H21" s="15" t="n">
        <v>0.48</v>
      </c>
      <c r="I21" s="15" t="n">
        <v>0.48</v>
      </c>
      <c r="J21" s="15" t="n">
        <v>0.45</v>
      </c>
      <c r="K21" s="15" t="n">
        <v>0.45</v>
      </c>
      <c r="L21" s="15" t="n">
        <v>0.43</v>
      </c>
      <c r="M21" s="15" t="n">
        <v>0.43</v>
      </c>
      <c r="N21" s="15" t="n">
        <v>0.4</v>
      </c>
    </row>
    <row r="22" customFormat="false" ht="15" hidden="false" customHeight="true" outlineLevel="0" collapsed="false">
      <c r="B22" s="4" t="s">
        <v>60</v>
      </c>
      <c r="C22" s="15" t="n">
        <v>0.35</v>
      </c>
      <c r="D22" s="15" t="n">
        <v>0.35</v>
      </c>
      <c r="E22" s="15" t="n">
        <v>0.35</v>
      </c>
      <c r="F22" s="15" t="n">
        <v>0.38</v>
      </c>
      <c r="G22" s="15" t="n">
        <v>0.38</v>
      </c>
      <c r="H22" s="15" t="n">
        <v>0.4</v>
      </c>
      <c r="I22" s="15" t="n">
        <v>0.4</v>
      </c>
      <c r="J22" s="15" t="n">
        <v>0.42</v>
      </c>
      <c r="K22" s="15" t="n">
        <v>0.42</v>
      </c>
      <c r="L22" s="15" t="n">
        <v>0.42</v>
      </c>
      <c r="M22" s="15" t="n">
        <v>0.42</v>
      </c>
      <c r="N22" s="15" t="n">
        <v>0.42</v>
      </c>
    </row>
    <row r="23" customFormat="false" ht="27.75" hidden="false" customHeight="true" outlineLevel="0" collapsed="false">
      <c r="B23" s="4" t="s">
        <v>61</v>
      </c>
      <c r="C23" s="15" t="n">
        <v>0.1</v>
      </c>
      <c r="D23" s="15" t="n">
        <v>0.1</v>
      </c>
      <c r="E23" s="15" t="n">
        <v>0.1</v>
      </c>
      <c r="F23" s="15" t="n">
        <v>0.12</v>
      </c>
      <c r="G23" s="15" t="n">
        <v>0.12</v>
      </c>
      <c r="H23" s="15" t="n">
        <v>0.12</v>
      </c>
      <c r="I23" s="15" t="n">
        <v>0.12</v>
      </c>
      <c r="J23" s="15" t="n">
        <v>0.13</v>
      </c>
      <c r="K23" s="15" t="n">
        <v>0.13</v>
      </c>
      <c r="L23" s="15" t="n">
        <v>0.15</v>
      </c>
      <c r="M23" s="15" t="n">
        <v>0.15</v>
      </c>
      <c r="N23" s="15" t="n">
        <v>0.18</v>
      </c>
    </row>
    <row r="24" customFormat="false" ht="15" hidden="false" customHeight="true" outlineLevel="0" collapsed="false">
      <c r="B24" s="4" t="s">
        <v>62</v>
      </c>
      <c r="C24" s="17" t="n">
        <v>3</v>
      </c>
      <c r="D24" s="17" t="n">
        <v>3</v>
      </c>
      <c r="E24" s="17" t="n">
        <v>4</v>
      </c>
      <c r="F24" s="17" t="n">
        <v>4</v>
      </c>
      <c r="G24" s="17" t="n">
        <v>5</v>
      </c>
      <c r="H24" s="17" t="n">
        <v>5</v>
      </c>
      <c r="I24" s="17" t="n">
        <v>6</v>
      </c>
      <c r="J24" s="17" t="n">
        <v>6</v>
      </c>
      <c r="K24" s="17" t="n">
        <v>7</v>
      </c>
      <c r="L24" s="17" t="n">
        <v>7</v>
      </c>
      <c r="M24" s="17" t="n">
        <v>8</v>
      </c>
      <c r="N24" s="17" t="n">
        <v>8</v>
      </c>
    </row>
    <row r="28" customFormat="false" ht="15" hidden="false" customHeight="true" outlineLevel="0" collapsed="false">
      <c r="B28" s="10" t="s">
        <v>63</v>
      </c>
      <c r="C28" s="10" t="s">
        <v>43</v>
      </c>
      <c r="D28" s="10" t="s">
        <v>44</v>
      </c>
      <c r="E28" s="10" t="s">
        <v>45</v>
      </c>
      <c r="F28" s="10" t="s">
        <v>46</v>
      </c>
      <c r="G28" s="10" t="s">
        <v>47</v>
      </c>
      <c r="H28" s="10" t="s">
        <v>48</v>
      </c>
      <c r="I28" s="10" t="s">
        <v>49</v>
      </c>
      <c r="J28" s="10" t="s">
        <v>50</v>
      </c>
      <c r="K28" s="10" t="s">
        <v>51</v>
      </c>
      <c r="L28" s="10" t="s">
        <v>52</v>
      </c>
      <c r="M28" s="10" t="s">
        <v>53</v>
      </c>
      <c r="N28" s="10" t="s">
        <v>54</v>
      </c>
    </row>
    <row r="29" customFormat="false" ht="15" hidden="false" customHeight="true" outlineLevel="0" collapsed="false">
      <c r="B29" s="4" t="s">
        <v>64</v>
      </c>
      <c r="C29" s="13" t="n">
        <v>2500</v>
      </c>
      <c r="D29" s="13" t="n">
        <v>2500</v>
      </c>
      <c r="E29" s="13" t="n">
        <v>2500</v>
      </c>
      <c r="F29" s="13" t="n">
        <v>2500</v>
      </c>
      <c r="G29" s="13" t="n">
        <v>2500</v>
      </c>
      <c r="H29" s="13" t="n">
        <v>2500</v>
      </c>
      <c r="I29" s="13" t="n">
        <v>2500</v>
      </c>
      <c r="J29" s="13" t="n">
        <v>2500</v>
      </c>
      <c r="K29" s="13" t="n">
        <v>2500</v>
      </c>
      <c r="L29" s="13" t="n">
        <v>2500</v>
      </c>
      <c r="M29" s="13" t="n">
        <v>2500</v>
      </c>
      <c r="N29" s="13" t="n">
        <v>2500</v>
      </c>
    </row>
    <row r="30" customFormat="false" ht="15" hidden="false" customHeight="true" outlineLevel="0" collapsed="false">
      <c r="B30" s="4" t="s">
        <v>65</v>
      </c>
      <c r="C30" s="13" t="n">
        <v>350</v>
      </c>
      <c r="D30" s="13" t="n">
        <v>350</v>
      </c>
      <c r="E30" s="13" t="n">
        <v>300</v>
      </c>
      <c r="F30" s="13" t="n">
        <v>300</v>
      </c>
      <c r="G30" s="13" t="n">
        <v>300</v>
      </c>
      <c r="H30" s="13" t="n">
        <v>300</v>
      </c>
      <c r="I30" s="13" t="n">
        <v>300</v>
      </c>
      <c r="J30" s="13" t="n">
        <v>300</v>
      </c>
      <c r="K30" s="13" t="n">
        <v>300</v>
      </c>
      <c r="L30" s="13" t="n">
        <v>300</v>
      </c>
      <c r="M30" s="13" t="n">
        <v>300</v>
      </c>
      <c r="N30" s="13" t="n">
        <v>300</v>
      </c>
    </row>
    <row r="31" customFormat="false" ht="15" hidden="false" customHeight="true" outlineLevel="0" collapsed="false">
      <c r="B31" s="4" t="s">
        <v>66</v>
      </c>
      <c r="C31" s="13" t="n">
        <v>700</v>
      </c>
      <c r="D31" s="13" t="n">
        <v>800</v>
      </c>
      <c r="E31" s="13" t="n">
        <v>900</v>
      </c>
      <c r="F31" s="13" t="n">
        <v>900</v>
      </c>
      <c r="G31" s="13" t="n">
        <v>1000</v>
      </c>
      <c r="H31" s="13" t="n">
        <v>1000</v>
      </c>
      <c r="I31" s="13" t="n">
        <v>1100</v>
      </c>
      <c r="J31" s="13" t="n">
        <v>1100</v>
      </c>
      <c r="K31" s="13" t="n">
        <v>1200</v>
      </c>
      <c r="L31" s="13" t="n">
        <v>1200</v>
      </c>
      <c r="M31" s="13" t="n">
        <v>1300</v>
      </c>
      <c r="N31" s="13" t="n">
        <v>1300</v>
      </c>
    </row>
    <row r="32" customFormat="false" ht="15" hidden="false" customHeight="true" outlineLevel="0" collapsed="false">
      <c r="B32" s="4" t="s">
        <v>67</v>
      </c>
      <c r="C32" s="13" t="n">
        <v>500</v>
      </c>
      <c r="D32" s="13" t="n">
        <v>150</v>
      </c>
      <c r="E32" s="13" t="n">
        <v>150</v>
      </c>
      <c r="F32" s="13" t="n">
        <v>150</v>
      </c>
      <c r="G32" s="13" t="n">
        <v>150</v>
      </c>
      <c r="H32" s="13" t="n">
        <v>150</v>
      </c>
      <c r="I32" s="13" t="n">
        <v>150</v>
      </c>
      <c r="J32" s="13" t="n">
        <v>150</v>
      </c>
      <c r="K32" s="13" t="n">
        <v>150</v>
      </c>
      <c r="L32" s="13" t="n">
        <v>150</v>
      </c>
      <c r="M32" s="13" t="n">
        <v>150</v>
      </c>
      <c r="N32" s="13" t="n">
        <v>150</v>
      </c>
    </row>
    <row r="33" customFormat="false" ht="15" hidden="false" customHeight="false" outlineLevel="0" collapsed="false">
      <c r="B33" s="6" t="s">
        <v>68</v>
      </c>
      <c r="C33" s="19" t="n">
        <v>400</v>
      </c>
      <c r="D33" s="19" t="n">
        <v>400</v>
      </c>
      <c r="E33" s="19" t="n">
        <v>400</v>
      </c>
      <c r="F33" s="19" t="n">
        <v>400</v>
      </c>
      <c r="G33" s="19" t="n">
        <v>400</v>
      </c>
      <c r="H33" s="19" t="n">
        <v>400</v>
      </c>
      <c r="I33" s="19" t="n">
        <v>400</v>
      </c>
      <c r="J33" s="19" t="n">
        <v>400</v>
      </c>
      <c r="K33" s="19" t="n">
        <v>400</v>
      </c>
      <c r="L33" s="19" t="n">
        <v>400</v>
      </c>
      <c r="M33" s="19" t="n">
        <v>400</v>
      </c>
      <c r="N33" s="19" t="n">
        <v>400</v>
      </c>
    </row>
    <row r="34" customFormat="false" ht="15" hidden="false" customHeight="true" outlineLevel="0" collapsed="false">
      <c r="B34" s="20" t="s">
        <v>69</v>
      </c>
      <c r="C34" s="19" t="n">
        <v>120</v>
      </c>
      <c r="D34" s="19" t="n">
        <v>120</v>
      </c>
      <c r="E34" s="19" t="n">
        <v>120</v>
      </c>
      <c r="F34" s="19" t="n">
        <v>120</v>
      </c>
      <c r="G34" s="19" t="n">
        <v>120</v>
      </c>
      <c r="H34" s="19" t="n">
        <v>120</v>
      </c>
      <c r="I34" s="19" t="n">
        <v>120</v>
      </c>
      <c r="J34" s="19" t="n">
        <v>120</v>
      </c>
      <c r="K34" s="19" t="n">
        <v>120</v>
      </c>
      <c r="L34" s="19" t="n">
        <v>120</v>
      </c>
      <c r="M34" s="19" t="n">
        <v>120</v>
      </c>
      <c r="N34" s="19" t="n">
        <v>120</v>
      </c>
    </row>
    <row r="35" customFormat="false" ht="15" hidden="false" customHeight="true" outlineLevel="0" collapsed="false">
      <c r="B35" s="20" t="s">
        <v>70</v>
      </c>
      <c r="C35" s="19" t="n">
        <v>80</v>
      </c>
      <c r="D35" s="19" t="n">
        <v>80</v>
      </c>
      <c r="E35" s="19" t="n">
        <v>80</v>
      </c>
      <c r="F35" s="19" t="n">
        <v>80</v>
      </c>
      <c r="G35" s="19" t="n">
        <v>80</v>
      </c>
      <c r="H35" s="19" t="n">
        <v>80</v>
      </c>
      <c r="I35" s="19" t="n">
        <v>80</v>
      </c>
      <c r="J35" s="19" t="n">
        <v>80</v>
      </c>
      <c r="K35" s="19" t="n">
        <v>80</v>
      </c>
      <c r="L35" s="19" t="n">
        <v>80</v>
      </c>
      <c r="M35" s="19" t="n">
        <v>80</v>
      </c>
      <c r="N35" s="19" t="n">
        <v>80</v>
      </c>
    </row>
    <row r="36" customFormat="false" ht="15" hidden="false" customHeight="false" outlineLevel="0" collapsed="false">
      <c r="B36" s="6" t="s">
        <v>71</v>
      </c>
      <c r="C36" s="19" t="n">
        <v>250</v>
      </c>
      <c r="D36" s="19" t="n">
        <v>250</v>
      </c>
      <c r="E36" s="19" t="n">
        <v>250</v>
      </c>
      <c r="F36" s="19" t="n">
        <v>250</v>
      </c>
      <c r="G36" s="19" t="n">
        <v>250</v>
      </c>
      <c r="H36" s="19" t="n">
        <v>250</v>
      </c>
      <c r="I36" s="19" t="n">
        <v>250</v>
      </c>
      <c r="J36" s="19" t="n">
        <v>250</v>
      </c>
      <c r="K36" s="19" t="n">
        <v>250</v>
      </c>
      <c r="L36" s="19" t="n">
        <v>250</v>
      </c>
      <c r="M36" s="19" t="n">
        <v>250</v>
      </c>
      <c r="N36" s="19" t="n">
        <v>250</v>
      </c>
    </row>
    <row r="37" customFormat="false" ht="15" hidden="false" customHeight="true" outlineLevel="0" collapsed="false">
      <c r="B37" s="21" t="s">
        <v>23</v>
      </c>
      <c r="C37" s="21" t="s">
        <v>72</v>
      </c>
      <c r="D37" s="21" t="s">
        <v>73</v>
      </c>
    </row>
    <row r="38" customFormat="false" ht="15" hidden="false" customHeight="true" outlineLevel="0" collapsed="false">
      <c r="B38" s="20" t="s">
        <v>24</v>
      </c>
      <c r="C38" s="22" t="n">
        <v>1</v>
      </c>
      <c r="D38" s="22" t="n">
        <v>1</v>
      </c>
    </row>
    <row r="39" customFormat="false" ht="15" hidden="false" customHeight="true" outlineLevel="0" collapsed="false">
      <c r="B39" s="20" t="s">
        <v>74</v>
      </c>
      <c r="C39" s="22" t="n">
        <v>0.7</v>
      </c>
      <c r="D39" s="22" t="n">
        <v>0.85</v>
      </c>
    </row>
    <row r="40" customFormat="false" ht="15" hidden="false" customHeight="true" outlineLevel="0" collapsed="false">
      <c r="B40" s="20" t="s">
        <v>75</v>
      </c>
      <c r="C40" s="22" t="n">
        <v>1.3</v>
      </c>
      <c r="D40" s="22" t="n">
        <v>1.15</v>
      </c>
    </row>
    <row r="42" customFormat="false" ht="15" hidden="false" customHeight="true" outlineLevel="0" collapsed="false">
      <c r="B42" s="20" t="s">
        <v>76</v>
      </c>
      <c r="C42" s="23" t="n">
        <f aca="false">VLOOKUP($C$5,$B$38:$D$40,2,FALSE())</f>
        <v>1</v>
      </c>
    </row>
    <row r="43" customFormat="false" ht="15" hidden="false" customHeight="true" outlineLevel="0" collapsed="false">
      <c r="B43" s="20" t="s">
        <v>77</v>
      </c>
      <c r="C43" s="23" t="n">
        <f aca="false">VLOOKUP($C$5,$B$38:$D$40,3,FALSE())</f>
        <v>1</v>
      </c>
    </row>
    <row r="46" customFormat="false" ht="15" hidden="false" customHeight="true" outlineLevel="0" collapsed="false">
      <c r="B46" s="11" t="s">
        <v>78</v>
      </c>
      <c r="C46" s="24" t="n">
        <v>0.3</v>
      </c>
      <c r="D46" s="24" t="n">
        <v>0.3</v>
      </c>
      <c r="E46" s="24" t="n">
        <v>0.32</v>
      </c>
      <c r="F46" s="24" t="n">
        <v>0.32</v>
      </c>
      <c r="G46" s="24" t="n">
        <v>0.34</v>
      </c>
      <c r="H46" s="24" t="n">
        <v>0.34</v>
      </c>
      <c r="I46" s="24" t="n">
        <v>0.36</v>
      </c>
      <c r="J46" s="24" t="n">
        <v>0.36</v>
      </c>
      <c r="K46" s="24" t="n">
        <v>0.38</v>
      </c>
      <c r="L46" s="24" t="n">
        <v>0.38</v>
      </c>
      <c r="M46" s="24" t="n">
        <v>0.4</v>
      </c>
      <c r="N46" s="24" t="n">
        <v>0.4</v>
      </c>
    </row>
    <row r="49" customFormat="false" ht="15" hidden="false" customHeight="false" outlineLevel="0" collapsed="false">
      <c r="B49" s="25" t="s">
        <v>79</v>
      </c>
    </row>
    <row r="50" customFormat="false" ht="15" hidden="false" customHeight="false" outlineLevel="0" collapsed="false">
      <c r="B50" s="6" t="s">
        <v>80</v>
      </c>
      <c r="C50" s="26" t="n">
        <v>1.41</v>
      </c>
    </row>
    <row r="51" customFormat="false" ht="15" hidden="false" customHeight="false" outlineLevel="0" collapsed="false">
      <c r="B51" s="6" t="s">
        <v>81</v>
      </c>
      <c r="C51" s="27" t="n">
        <v>1</v>
      </c>
    </row>
    <row r="52" customFormat="false" ht="15" hidden="false" customHeight="false" outlineLevel="0" collapsed="false">
      <c r="B52" s="6" t="s">
        <v>82</v>
      </c>
      <c r="C52" s="28" t="n">
        <v>15000</v>
      </c>
    </row>
    <row r="53" customFormat="false" ht="15" hidden="false" customHeight="false" outlineLevel="0" collapsed="false">
      <c r="B53" s="6" t="s">
        <v>83</v>
      </c>
      <c r="C53" s="28" t="n">
        <v>6000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15" min="3" style="1" width="15"/>
  </cols>
  <sheetData>
    <row r="1" customFormat="false" ht="18" hidden="false" customHeight="true" outlineLevel="0" collapsed="false"/>
    <row r="2" customFormat="false" ht="44.25" hidden="false" customHeight="true" outlineLevel="0" collapsed="false">
      <c r="B2" s="2" t="s">
        <v>84</v>
      </c>
    </row>
    <row r="3" customFormat="false" ht="23.25" hidden="false" customHeight="true" outlineLevel="0" collapsed="false">
      <c r="B3" s="3" t="s">
        <v>85</v>
      </c>
    </row>
    <row r="5" customFormat="false" ht="15" hidden="false" customHeight="true" outlineLevel="0" collapsed="false">
      <c r="B5" s="10" t="s">
        <v>86</v>
      </c>
      <c r="C5" s="10" t="s">
        <v>43</v>
      </c>
      <c r="D5" s="10" t="s">
        <v>44</v>
      </c>
      <c r="E5" s="10" t="s">
        <v>45</v>
      </c>
      <c r="F5" s="10" t="s">
        <v>46</v>
      </c>
      <c r="G5" s="10" t="s">
        <v>47</v>
      </c>
      <c r="H5" s="10" t="s">
        <v>48</v>
      </c>
      <c r="I5" s="10" t="s">
        <v>49</v>
      </c>
      <c r="J5" s="10" t="s">
        <v>50</v>
      </c>
      <c r="K5" s="10" t="s">
        <v>51</v>
      </c>
      <c r="L5" s="10" t="s">
        <v>52</v>
      </c>
      <c r="M5" s="10" t="s">
        <v>53</v>
      </c>
      <c r="N5" s="10" t="s">
        <v>54</v>
      </c>
      <c r="O5" s="10" t="s">
        <v>87</v>
      </c>
    </row>
    <row r="6" customFormat="false" ht="15" hidden="false" customHeight="true" outlineLevel="0" collapsed="false">
      <c r="B6" s="4" t="s">
        <v>55</v>
      </c>
      <c r="C6" s="29" t="n">
        <f aca="false">Assumptions!C17</f>
        <v>15</v>
      </c>
      <c r="D6" s="29" t="n">
        <f aca="false">Assumptions!D17</f>
        <v>18</v>
      </c>
      <c r="E6" s="29" t="n">
        <f aca="false">Assumptions!E17</f>
        <v>20</v>
      </c>
      <c r="F6" s="29" t="n">
        <f aca="false">Assumptions!F17</f>
        <v>22</v>
      </c>
      <c r="G6" s="29" t="n">
        <f aca="false">Assumptions!G17</f>
        <v>24</v>
      </c>
      <c r="H6" s="29" t="n">
        <f aca="false">Assumptions!H17</f>
        <v>26</v>
      </c>
      <c r="I6" s="29" t="n">
        <f aca="false">Assumptions!I17</f>
        <v>28</v>
      </c>
      <c r="J6" s="29" t="n">
        <f aca="false">Assumptions!J17</f>
        <v>30</v>
      </c>
      <c r="K6" s="29" t="n">
        <f aca="false">Assumptions!K17</f>
        <v>32</v>
      </c>
      <c r="L6" s="29" t="n">
        <f aca="false">Assumptions!L17</f>
        <v>34</v>
      </c>
      <c r="M6" s="29" t="n">
        <f aca="false">Assumptions!M17</f>
        <v>36</v>
      </c>
      <c r="N6" s="29" t="n">
        <f aca="false">Assumptions!N17</f>
        <v>38</v>
      </c>
      <c r="O6" s="29" t="n">
        <f aca="false">SUM(C6:N6)</f>
        <v>323</v>
      </c>
    </row>
    <row r="7" customFormat="false" ht="15" hidden="false" customHeight="true" outlineLevel="0" collapsed="false">
      <c r="B7" s="4" t="s">
        <v>88</v>
      </c>
      <c r="C7" s="29" t="n">
        <f aca="false">MIN(C6*Assumptions!C18,Assumptions!C24)</f>
        <v>3</v>
      </c>
      <c r="D7" s="29" t="n">
        <f aca="false">MIN(D6*Assumptions!D18,Assumptions!D24)</f>
        <v>3</v>
      </c>
      <c r="E7" s="29" t="n">
        <f aca="false">MIN(E6*Assumptions!E18,Assumptions!E24)</f>
        <v>4</v>
      </c>
      <c r="F7" s="29" t="n">
        <f aca="false">MIN(F6*Assumptions!F18,Assumptions!F24)</f>
        <v>4</v>
      </c>
      <c r="G7" s="29" t="n">
        <f aca="false">MIN(G6*Assumptions!G18,Assumptions!G24)</f>
        <v>4.8</v>
      </c>
      <c r="H7" s="29" t="n">
        <f aca="false">MIN(H6*Assumptions!H18,Assumptions!H24)</f>
        <v>5</v>
      </c>
      <c r="I7" s="29" t="n">
        <f aca="false">MIN(I6*Assumptions!I18,Assumptions!I24)</f>
        <v>5.6</v>
      </c>
      <c r="J7" s="29" t="n">
        <f aca="false">MIN(J6*Assumptions!J18,Assumptions!J24)</f>
        <v>6</v>
      </c>
      <c r="K7" s="29" t="n">
        <f aca="false">MIN(K6*Assumptions!K18,Assumptions!K24)</f>
        <v>6.4</v>
      </c>
      <c r="L7" s="29" t="n">
        <f aca="false">MIN(L6*Assumptions!L18,Assumptions!L24)</f>
        <v>6.8</v>
      </c>
      <c r="M7" s="29" t="n">
        <f aca="false">MIN(M6*Assumptions!M18,Assumptions!M24)</f>
        <v>7.2</v>
      </c>
      <c r="N7" s="29" t="n">
        <f aca="false">MIN(N6*Assumptions!N18,Assumptions!N24)</f>
        <v>7.6</v>
      </c>
      <c r="O7" s="29" t="n">
        <f aca="false">SUM(C7:N7)</f>
        <v>63.4</v>
      </c>
    </row>
    <row r="8" customFormat="false" ht="15" hidden="false" customHeight="true" outlineLevel="0" collapsed="false">
      <c r="B8" s="4" t="s">
        <v>89</v>
      </c>
      <c r="C8" s="29" t="n">
        <f aca="false">C7*Assumptions!C19</f>
        <v>1.35</v>
      </c>
      <c r="D8" s="29" t="n">
        <f aca="false">D7*Assumptions!D19</f>
        <v>1.35</v>
      </c>
      <c r="E8" s="29" t="n">
        <f aca="false">E7*Assumptions!E19</f>
        <v>1.8</v>
      </c>
      <c r="F8" s="29" t="n">
        <f aca="false">F7*Assumptions!F19</f>
        <v>1.8</v>
      </c>
      <c r="G8" s="29" t="n">
        <f aca="false">G7*Assumptions!G19</f>
        <v>2.16</v>
      </c>
      <c r="H8" s="29" t="n">
        <f aca="false">H7*Assumptions!H19</f>
        <v>2.25</v>
      </c>
      <c r="I8" s="29" t="n">
        <f aca="false">I7*Assumptions!I19</f>
        <v>2.52</v>
      </c>
      <c r="J8" s="29" t="n">
        <f aca="false">J7*Assumptions!J19</f>
        <v>2.7</v>
      </c>
      <c r="K8" s="29" t="n">
        <f aca="false">K7*Assumptions!K19</f>
        <v>2.88</v>
      </c>
      <c r="L8" s="29" t="n">
        <f aca="false">L7*Assumptions!L19</f>
        <v>3.06</v>
      </c>
      <c r="M8" s="29" t="n">
        <f aca="false">M7*Assumptions!M19</f>
        <v>3.24</v>
      </c>
      <c r="N8" s="29" t="n">
        <f aca="false">N7*Assumptions!N19</f>
        <v>3.42</v>
      </c>
      <c r="O8" s="29" t="n">
        <f aca="false">SUM(C8:N8)</f>
        <v>28.53</v>
      </c>
    </row>
    <row r="9" customFormat="false" ht="15" hidden="false" customHeight="true" outlineLevel="0" collapsed="false">
      <c r="B9" s="4" t="s">
        <v>90</v>
      </c>
      <c r="C9" s="29" t="n">
        <f aca="false">C8*Assumptions!C20</f>
        <v>0.405</v>
      </c>
      <c r="D9" s="29" t="n">
        <f aca="false">D8*Assumptions!D20</f>
        <v>0.405</v>
      </c>
      <c r="E9" s="29" t="n">
        <f aca="false">E8*Assumptions!E20</f>
        <v>0.576</v>
      </c>
      <c r="F9" s="29" t="n">
        <f aca="false">F8*Assumptions!F20</f>
        <v>0.576</v>
      </c>
      <c r="G9" s="29" t="n">
        <f aca="false">G8*Assumptions!G20</f>
        <v>0.7344</v>
      </c>
      <c r="H9" s="29" t="n">
        <f aca="false">H8*Assumptions!H20</f>
        <v>0.765</v>
      </c>
      <c r="I9" s="29" t="n">
        <f aca="false">I8*Assumptions!I20</f>
        <v>0.9072</v>
      </c>
      <c r="J9" s="29" t="n">
        <f aca="false">J8*Assumptions!J20</f>
        <v>0.972</v>
      </c>
      <c r="K9" s="29" t="n">
        <f aca="false">K8*Assumptions!K20</f>
        <v>1.0944</v>
      </c>
      <c r="L9" s="29" t="n">
        <f aca="false">L8*Assumptions!L20</f>
        <v>1.1628</v>
      </c>
      <c r="M9" s="29" t="n">
        <f aca="false">M8*Assumptions!M20</f>
        <v>1.296</v>
      </c>
      <c r="N9" s="29" t="n">
        <f aca="false">N8*Assumptions!N20</f>
        <v>1.368</v>
      </c>
      <c r="O9" s="29" t="n">
        <f aca="false">SUM(C9:N9)</f>
        <v>10.2618</v>
      </c>
    </row>
    <row r="10" customFormat="false" ht="15" hidden="false" customHeight="true" outlineLevel="0" collapsed="false">
      <c r="B10" s="4" t="s">
        <v>91</v>
      </c>
      <c r="C10" s="29" t="n">
        <f aca="false">C9*Assumptions!C21</f>
        <v>0.22275</v>
      </c>
      <c r="D10" s="29" t="n">
        <f aca="false">D9*Assumptions!D21</f>
        <v>0.22275</v>
      </c>
      <c r="E10" s="29" t="n">
        <f aca="false">E9*Assumptions!E21</f>
        <v>0.3168</v>
      </c>
      <c r="F10" s="29" t="n">
        <f aca="false">F9*Assumptions!F21</f>
        <v>0.288</v>
      </c>
      <c r="G10" s="29" t="n">
        <f aca="false">G9*Assumptions!G21</f>
        <v>0.3672</v>
      </c>
      <c r="H10" s="29" t="n">
        <f aca="false">H9*Assumptions!H21</f>
        <v>0.3672</v>
      </c>
      <c r="I10" s="29" t="n">
        <f aca="false">I9*Assumptions!I21</f>
        <v>0.435456</v>
      </c>
      <c r="J10" s="29" t="n">
        <f aca="false">J9*Assumptions!J21</f>
        <v>0.4374</v>
      </c>
      <c r="K10" s="29" t="n">
        <f aca="false">K9*Assumptions!K21</f>
        <v>0.49248</v>
      </c>
      <c r="L10" s="29" t="n">
        <f aca="false">L9*Assumptions!L21</f>
        <v>0.500004</v>
      </c>
      <c r="M10" s="29" t="n">
        <f aca="false">M9*Assumptions!M21</f>
        <v>0.55728</v>
      </c>
      <c r="N10" s="29" t="n">
        <f aca="false">N9*Assumptions!N21</f>
        <v>0.5472</v>
      </c>
      <c r="O10" s="29" t="n">
        <f aca="false">SUM(C10:N10)</f>
        <v>4.75452</v>
      </c>
    </row>
    <row r="11" customFormat="false" ht="15" hidden="false" customHeight="true" outlineLevel="0" collapsed="false">
      <c r="B11" s="4" t="s">
        <v>92</v>
      </c>
      <c r="C11" s="29" t="n">
        <f aca="false">C9*Assumptions!C22</f>
        <v>0.14175</v>
      </c>
      <c r="D11" s="29" t="n">
        <f aca="false">D9*Assumptions!D22</f>
        <v>0.14175</v>
      </c>
      <c r="E11" s="29" t="n">
        <f aca="false">E9*Assumptions!E22</f>
        <v>0.2016</v>
      </c>
      <c r="F11" s="29" t="n">
        <f aca="false">F9*Assumptions!F22</f>
        <v>0.21888</v>
      </c>
      <c r="G11" s="29" t="n">
        <f aca="false">G9*Assumptions!G22</f>
        <v>0.279072</v>
      </c>
      <c r="H11" s="29" t="n">
        <f aca="false">H9*Assumptions!H22</f>
        <v>0.306</v>
      </c>
      <c r="I11" s="29" t="n">
        <f aca="false">I9*Assumptions!I22</f>
        <v>0.36288</v>
      </c>
      <c r="J11" s="29" t="n">
        <f aca="false">J9*Assumptions!J22</f>
        <v>0.40824</v>
      </c>
      <c r="K11" s="29" t="n">
        <f aca="false">K9*Assumptions!K22</f>
        <v>0.459648</v>
      </c>
      <c r="L11" s="29" t="n">
        <f aca="false">L9*Assumptions!L22</f>
        <v>0.488376</v>
      </c>
      <c r="M11" s="29" t="n">
        <f aca="false">M9*Assumptions!M22</f>
        <v>0.54432</v>
      </c>
      <c r="N11" s="29" t="n">
        <f aca="false">N9*Assumptions!N22</f>
        <v>0.57456</v>
      </c>
      <c r="O11" s="29" t="n">
        <f aca="false">SUM(C11:N11)</f>
        <v>4.127076</v>
      </c>
    </row>
    <row r="12" customFormat="false" ht="15" hidden="false" customHeight="true" outlineLevel="0" collapsed="false">
      <c r="B12" s="4" t="s">
        <v>93</v>
      </c>
      <c r="C12" s="29" t="n">
        <f aca="false">C9*Assumptions!C23</f>
        <v>0.0405</v>
      </c>
      <c r="D12" s="29" t="n">
        <f aca="false">D9*Assumptions!D23</f>
        <v>0.0405</v>
      </c>
      <c r="E12" s="29" t="n">
        <f aca="false">E9*Assumptions!E23</f>
        <v>0.0576</v>
      </c>
      <c r="F12" s="29" t="n">
        <f aca="false">F9*Assumptions!F23</f>
        <v>0.06912</v>
      </c>
      <c r="G12" s="29" t="n">
        <f aca="false">G9*Assumptions!G23</f>
        <v>0.088128</v>
      </c>
      <c r="H12" s="29" t="n">
        <f aca="false">H9*Assumptions!H23</f>
        <v>0.0918</v>
      </c>
      <c r="I12" s="29" t="n">
        <f aca="false">I9*Assumptions!I23</f>
        <v>0.108864</v>
      </c>
      <c r="J12" s="29" t="n">
        <f aca="false">J9*Assumptions!J23</f>
        <v>0.12636</v>
      </c>
      <c r="K12" s="29" t="n">
        <f aca="false">K9*Assumptions!K23</f>
        <v>0.142272</v>
      </c>
      <c r="L12" s="29" t="n">
        <f aca="false">L9*Assumptions!L23</f>
        <v>0.17442</v>
      </c>
      <c r="M12" s="29" t="n">
        <f aca="false">M9*Assumptions!M23</f>
        <v>0.1944</v>
      </c>
      <c r="N12" s="29" t="n">
        <f aca="false">N9*Assumptions!N23</f>
        <v>0.24624</v>
      </c>
      <c r="O12" s="29" t="n">
        <f aca="false">SUM(C12:N12)</f>
        <v>1.380204</v>
      </c>
    </row>
    <row r="13" customFormat="false" ht="15" hidden="false" customHeight="true" outlineLevel="0" collapsed="false">
      <c r="B13" s="30" t="s">
        <v>94</v>
      </c>
      <c r="C13" s="31" t="n">
        <f aca="false">C10*Assumptions!$D$10*Assumptions!$C$51</f>
        <v>2784.375</v>
      </c>
      <c r="D13" s="31" t="n">
        <f aca="false">D10*Assumptions!$D$10*Assumptions!$C$51</f>
        <v>2784.375</v>
      </c>
      <c r="E13" s="31" t="n">
        <f aca="false">E10*Assumptions!$D$10*Assumptions!$C$51</f>
        <v>3960</v>
      </c>
      <c r="F13" s="31" t="n">
        <f aca="false">F10*Assumptions!$D$10*Assumptions!$C$51</f>
        <v>3600</v>
      </c>
      <c r="G13" s="31" t="n">
        <f aca="false">G10*Assumptions!$D$10*Assumptions!$C$51</f>
        <v>4590</v>
      </c>
      <c r="H13" s="31" t="n">
        <f aca="false">H10*Assumptions!$D$10*Assumptions!$C$51</f>
        <v>4590</v>
      </c>
      <c r="I13" s="31" t="n">
        <f aca="false">I10*Assumptions!$D$10*Assumptions!$C$51</f>
        <v>5443.2</v>
      </c>
      <c r="J13" s="31" t="n">
        <f aca="false">J10*Assumptions!$D$10*Assumptions!$C$51</f>
        <v>5467.5</v>
      </c>
      <c r="K13" s="31" t="n">
        <f aca="false">K10*Assumptions!$D$10*Assumptions!$C$51</f>
        <v>6156</v>
      </c>
      <c r="L13" s="31" t="n">
        <f aca="false">L10*Assumptions!$D$10*Assumptions!$C$51</f>
        <v>6250.05</v>
      </c>
      <c r="M13" s="31" t="n">
        <f aca="false">M10*Assumptions!$D$10*Assumptions!$C$51</f>
        <v>6966</v>
      </c>
      <c r="N13" s="31" t="n">
        <f aca="false">N10*Assumptions!$D$10*Assumptions!$C$51</f>
        <v>6840</v>
      </c>
      <c r="O13" s="32" t="n">
        <f aca="false">SUM(C13:N13)</f>
        <v>59431.5</v>
      </c>
    </row>
    <row r="14" customFormat="false" ht="15" hidden="false" customHeight="true" outlineLevel="0" collapsed="false">
      <c r="B14" s="30" t="s">
        <v>95</v>
      </c>
      <c r="C14" s="31" t="n">
        <f aca="false">C11*Assumptions!$D$11*Assumptions!$C$51</f>
        <v>1063.125</v>
      </c>
      <c r="D14" s="31" t="n">
        <f aca="false">D11*Assumptions!$D$11*Assumptions!$C$51</f>
        <v>1063.125</v>
      </c>
      <c r="E14" s="31" t="n">
        <f aca="false">E11*Assumptions!$D$11*Assumptions!$C$51</f>
        <v>1512</v>
      </c>
      <c r="F14" s="31" t="n">
        <f aca="false">F11*Assumptions!$D$11*Assumptions!$C$51</f>
        <v>1641.6</v>
      </c>
      <c r="G14" s="31" t="n">
        <f aca="false">G11*Assumptions!$D$11*Assumptions!$C$51</f>
        <v>2093.04</v>
      </c>
      <c r="H14" s="31" t="n">
        <f aca="false">H11*Assumptions!$D$11*Assumptions!$C$51</f>
        <v>2295</v>
      </c>
      <c r="I14" s="31" t="n">
        <f aca="false">I11*Assumptions!$D$11*Assumptions!$C$51</f>
        <v>2721.6</v>
      </c>
      <c r="J14" s="31" t="n">
        <f aca="false">J11*Assumptions!$D$11*Assumptions!$C$51</f>
        <v>3061.8</v>
      </c>
      <c r="K14" s="31" t="n">
        <f aca="false">K11*Assumptions!$D$11*Assumptions!$C$51</f>
        <v>3447.36</v>
      </c>
      <c r="L14" s="31" t="n">
        <f aca="false">L11*Assumptions!$D$11*Assumptions!$C$51</f>
        <v>3662.82</v>
      </c>
      <c r="M14" s="31" t="n">
        <f aca="false">M11*Assumptions!$D$11*Assumptions!$C$51</f>
        <v>4082.4</v>
      </c>
      <c r="N14" s="31" t="n">
        <f aca="false">N11*Assumptions!$D$11*Assumptions!$C$51</f>
        <v>4309.2</v>
      </c>
      <c r="O14" s="32" t="n">
        <f aca="false">SUM(C14:N14)</f>
        <v>30953.07</v>
      </c>
    </row>
    <row r="15" customFormat="false" ht="15" hidden="false" customHeight="true" outlineLevel="0" collapsed="false">
      <c r="B15" s="30" t="s">
        <v>96</v>
      </c>
      <c r="C15" s="32" t="n">
        <f aca="false">0.5*C13</f>
        <v>1392.1875</v>
      </c>
      <c r="D15" s="32" t="n">
        <f aca="false">0.5*D13+0.5*C13</f>
        <v>2784.375</v>
      </c>
      <c r="E15" s="32" t="n">
        <f aca="false">0.5*E13+0.5*D13</f>
        <v>3372.1875</v>
      </c>
      <c r="F15" s="32" t="n">
        <f aca="false">0.5*F13+0.5*E13</f>
        <v>3780</v>
      </c>
      <c r="G15" s="32" t="n">
        <f aca="false">0.5*G13+0.5*F13</f>
        <v>4095</v>
      </c>
      <c r="H15" s="32" t="n">
        <f aca="false">0.5*H13+0.5*G13</f>
        <v>4590</v>
      </c>
      <c r="I15" s="32" t="n">
        <f aca="false">0.5*I13+0.5*H13</f>
        <v>5016.6</v>
      </c>
      <c r="J15" s="32" t="n">
        <f aca="false">0.5*J13+0.5*I13</f>
        <v>5455.35</v>
      </c>
      <c r="K15" s="32" t="n">
        <f aca="false">0.5*K13+0.5*J13</f>
        <v>5811.75</v>
      </c>
      <c r="L15" s="32" t="n">
        <f aca="false">0.5*L13+0.5*K13</f>
        <v>6203.025</v>
      </c>
      <c r="M15" s="32" t="n">
        <f aca="false">0.5*M13+0.5*L13</f>
        <v>6608.025</v>
      </c>
      <c r="N15" s="32" t="n">
        <f aca="false">0.5*N13+0.5*M13</f>
        <v>6903</v>
      </c>
      <c r="O15" s="32" t="n">
        <f aca="false">SUM(C15:N15)</f>
        <v>56011.5</v>
      </c>
    </row>
    <row r="16" customFormat="false" ht="15" hidden="false" customHeight="true" outlineLevel="0" collapsed="false">
      <c r="B16" s="30" t="s">
        <v>97</v>
      </c>
      <c r="C16" s="32" t="n">
        <f aca="false">0.5*C14</f>
        <v>531.5625</v>
      </c>
      <c r="D16" s="32" t="n">
        <f aca="false">0.5*D14+0.5*C14</f>
        <v>1063.125</v>
      </c>
      <c r="E16" s="32" t="n">
        <f aca="false">0.5*E14+0.5*D14</f>
        <v>1287.5625</v>
      </c>
      <c r="F16" s="32" t="n">
        <f aca="false">0.5*F14+0.5*E14</f>
        <v>1576.8</v>
      </c>
      <c r="G16" s="32" t="n">
        <f aca="false">0.5*G14+0.5*F14</f>
        <v>1867.32</v>
      </c>
      <c r="H16" s="32" t="n">
        <f aca="false">0.5*H14+0.5*G14</f>
        <v>2194.02</v>
      </c>
      <c r="I16" s="32" t="n">
        <f aca="false">0.5*I14+0.5*H14</f>
        <v>2508.3</v>
      </c>
      <c r="J16" s="32" t="n">
        <f aca="false">0.5*J14+0.5*I14</f>
        <v>2891.7</v>
      </c>
      <c r="K16" s="32" t="n">
        <f aca="false">0.5*K14+0.5*J14</f>
        <v>3254.58</v>
      </c>
      <c r="L16" s="32" t="n">
        <f aca="false">0.5*L14+0.5*K14</f>
        <v>3555.09</v>
      </c>
      <c r="M16" s="32" t="n">
        <f aca="false">0.5*M14+0.5*L14</f>
        <v>3872.61</v>
      </c>
      <c r="N16" s="32" t="n">
        <f aca="false">0.5*N14+0.5*M14</f>
        <v>4195.8</v>
      </c>
      <c r="O16" s="32" t="n">
        <f aca="false">SUM(C16:N16)</f>
        <v>28798.47</v>
      </c>
    </row>
    <row r="17" customFormat="false" ht="15" hidden="false" customHeight="true" outlineLevel="0" collapsed="false">
      <c r="B17" s="30" t="s">
        <v>98</v>
      </c>
      <c r="C17" s="32" t="n">
        <f aca="false">(C10*Assumptions!$H$10*Assumptions!$I$10)+(C11*Assumptions!$H$11*Assumptions!$I$11)+(C12*Assumptions!$I$12)</f>
        <v>361.96875</v>
      </c>
      <c r="D17" s="32" t="n">
        <f aca="false">(D10*Assumptions!$H$10*Assumptions!$I$10)+(D11*Assumptions!$H$11*Assumptions!$I$11)+(D12*Assumptions!$I$12)</f>
        <v>361.96875</v>
      </c>
      <c r="E17" s="32" t="n">
        <f aca="false">(E10*Assumptions!$H$10*Assumptions!$I$10)+(E11*Assumptions!$H$11*Assumptions!$I$11)+(E12*Assumptions!$I$12)</f>
        <v>514.8</v>
      </c>
      <c r="F17" s="32" t="n">
        <f aca="false">(F10*Assumptions!$H$10*Assumptions!$I$10)+(F11*Assumptions!$H$11*Assumptions!$I$11)+(F12*Assumptions!$I$12)</f>
        <v>540</v>
      </c>
      <c r="G17" s="32" t="n">
        <f aca="false">(G10*Assumptions!$H$10*Assumptions!$I$10)+(G11*Assumptions!$H$11*Assumptions!$I$11)+(G12*Assumptions!$I$12)</f>
        <v>688.5</v>
      </c>
      <c r="H17" s="32" t="n">
        <f aca="false">(H10*Assumptions!$H$10*Assumptions!$I$10)+(H11*Assumptions!$H$11*Assumptions!$I$11)+(H12*Assumptions!$I$12)</f>
        <v>711.45</v>
      </c>
      <c r="I17" s="32" t="n">
        <f aca="false">(I10*Assumptions!$H$10*Assumptions!$I$10)+(I11*Assumptions!$H$11*Assumptions!$I$11)+(I12*Assumptions!$I$12)</f>
        <v>843.696</v>
      </c>
      <c r="J17" s="32" t="n">
        <f aca="false">(J10*Assumptions!$H$10*Assumptions!$I$10)+(J11*Assumptions!$H$11*Assumptions!$I$11)+(J12*Assumptions!$I$12)</f>
        <v>923.4</v>
      </c>
      <c r="K17" s="32" t="n">
        <f aca="false">(K10*Assumptions!$H$10*Assumptions!$I$10)+(K11*Assumptions!$H$11*Assumptions!$I$11)+(K12*Assumptions!$I$12)</f>
        <v>1039.68</v>
      </c>
      <c r="L17" s="32" t="n">
        <f aca="false">(L10*Assumptions!$H$10*Assumptions!$I$10)+(L11*Assumptions!$H$11*Assumptions!$I$11)+(L12*Assumptions!$I$12)</f>
        <v>1168.614</v>
      </c>
      <c r="M17" s="32" t="n">
        <f aca="false">(M10*Assumptions!$H$10*Assumptions!$I$10)+(M11*Assumptions!$H$11*Assumptions!$I$11)+(M12*Assumptions!$I$12)</f>
        <v>1302.48</v>
      </c>
      <c r="N17" s="32" t="n">
        <f aca="false">(N10*Assumptions!$H$10*Assumptions!$I$10)+(N11*Assumptions!$H$11*Assumptions!$I$11)+(N12*Assumptions!$I$12)</f>
        <v>1487.7</v>
      </c>
      <c r="O17" s="32" t="n">
        <f aca="false">SUM(C17:N17)</f>
        <v>9944.2575</v>
      </c>
    </row>
    <row r="18" customFormat="false" ht="15" hidden="false" customHeight="true" outlineLevel="0" collapsed="false">
      <c r="B18" s="30" t="s">
        <v>99</v>
      </c>
      <c r="C18" s="32" t="n">
        <f aca="false">0</f>
        <v>0</v>
      </c>
      <c r="D18" s="32" t="n">
        <f aca="false">C17+C18</f>
        <v>361.96875</v>
      </c>
      <c r="E18" s="32" t="n">
        <f aca="false">D17+D18</f>
        <v>723.9375</v>
      </c>
      <c r="F18" s="32" t="n">
        <f aca="false">E17+E18</f>
        <v>1238.7375</v>
      </c>
      <c r="G18" s="32" t="n">
        <f aca="false">F17+F18</f>
        <v>1778.7375</v>
      </c>
      <c r="H18" s="32" t="n">
        <f aca="false">G17+G18</f>
        <v>2467.2375</v>
      </c>
      <c r="I18" s="32" t="n">
        <f aca="false">H17+H18</f>
        <v>3178.6875</v>
      </c>
      <c r="J18" s="32" t="n">
        <f aca="false">I17+I18</f>
        <v>4022.3835</v>
      </c>
      <c r="K18" s="32" t="n">
        <f aca="false">J17+J18</f>
        <v>4945.7835</v>
      </c>
      <c r="L18" s="32" t="n">
        <f aca="false">K17+K18</f>
        <v>5985.4635</v>
      </c>
      <c r="M18" s="32" t="n">
        <f aca="false">L17+L18</f>
        <v>7154.0775</v>
      </c>
      <c r="N18" s="32" t="n">
        <f aca="false">M17+M18</f>
        <v>8456.5575</v>
      </c>
      <c r="O18" s="32" t="n">
        <f aca="false">SUM(C18:N18)</f>
        <v>40313.57175</v>
      </c>
    </row>
    <row r="19" customFormat="false" ht="15" hidden="false" customHeight="true" outlineLevel="0" collapsed="false">
      <c r="B19" s="33" t="s">
        <v>100</v>
      </c>
      <c r="C19" s="34" t="n">
        <f aca="false">C15+C16</f>
        <v>1923.75</v>
      </c>
      <c r="D19" s="34" t="n">
        <f aca="false">D15+D16</f>
        <v>3847.5</v>
      </c>
      <c r="E19" s="34" t="n">
        <f aca="false">E15+E16</f>
        <v>4659.75</v>
      </c>
      <c r="F19" s="34" t="n">
        <f aca="false">F15+F16</f>
        <v>5356.8</v>
      </c>
      <c r="G19" s="34" t="n">
        <f aca="false">G15+G16</f>
        <v>5962.32</v>
      </c>
      <c r="H19" s="34" t="n">
        <f aca="false">H15+H16</f>
        <v>6784.02</v>
      </c>
      <c r="I19" s="34" t="n">
        <f aca="false">I15+I16</f>
        <v>7524.9</v>
      </c>
      <c r="J19" s="34" t="n">
        <f aca="false">J15+J16</f>
        <v>8347.05</v>
      </c>
      <c r="K19" s="34" t="n">
        <f aca="false">K15+K16</f>
        <v>9066.33</v>
      </c>
      <c r="L19" s="34" t="n">
        <f aca="false">L15+L16</f>
        <v>9758.115</v>
      </c>
      <c r="M19" s="34" t="n">
        <f aca="false">M15+M16</f>
        <v>10480.635</v>
      </c>
      <c r="N19" s="34" t="n">
        <f aca="false">N15+N16</f>
        <v>11098.8</v>
      </c>
      <c r="O19" s="34" t="n">
        <f aca="false">SUM(C19:N19)</f>
        <v>84809.97</v>
      </c>
    </row>
    <row r="20" customFormat="false" ht="15" hidden="false" customHeight="true" outlineLevel="0" collapsed="false">
      <c r="B20" s="33" t="s">
        <v>101</v>
      </c>
      <c r="C20" s="34" t="n">
        <f aca="false">C17+C18</f>
        <v>361.96875</v>
      </c>
      <c r="D20" s="34" t="n">
        <f aca="false">D17+D18</f>
        <v>723.9375</v>
      </c>
      <c r="E20" s="34" t="n">
        <f aca="false">E17+E18</f>
        <v>1238.7375</v>
      </c>
      <c r="F20" s="34" t="n">
        <f aca="false">F17+F18</f>
        <v>1778.7375</v>
      </c>
      <c r="G20" s="34" t="n">
        <f aca="false">G17+G18</f>
        <v>2467.2375</v>
      </c>
      <c r="H20" s="34" t="n">
        <f aca="false">H17+H18</f>
        <v>3178.6875</v>
      </c>
      <c r="I20" s="34" t="n">
        <f aca="false">I17+I18</f>
        <v>4022.3835</v>
      </c>
      <c r="J20" s="34" t="n">
        <f aca="false">J17+J18</f>
        <v>4945.7835</v>
      </c>
      <c r="K20" s="34" t="n">
        <f aca="false">K17+K18</f>
        <v>5985.4635</v>
      </c>
      <c r="L20" s="34" t="n">
        <f aca="false">L17+L18</f>
        <v>7154.0775</v>
      </c>
      <c r="M20" s="34" t="n">
        <f aca="false">M17+M18</f>
        <v>8456.5575</v>
      </c>
      <c r="N20" s="34" t="n">
        <f aca="false">N17+N18</f>
        <v>9944.2575</v>
      </c>
      <c r="O20" s="34" t="n">
        <f aca="false">SUM(C20:N20)</f>
        <v>50257.82925</v>
      </c>
    </row>
    <row r="21" customFormat="false" ht="15" hidden="false" customHeight="false" outlineLevel="0" collapsed="false">
      <c r="B21" s="35" t="s">
        <v>102</v>
      </c>
      <c r="C21" s="36" t="n">
        <f aca="false">C19+C20</f>
        <v>2285.71875</v>
      </c>
      <c r="D21" s="36" t="n">
        <f aca="false">D19+D20</f>
        <v>4571.4375</v>
      </c>
      <c r="E21" s="36" t="n">
        <f aca="false">E19+E20</f>
        <v>5898.4875</v>
      </c>
      <c r="F21" s="36" t="n">
        <f aca="false">F19+F20</f>
        <v>7135.5375</v>
      </c>
      <c r="G21" s="36" t="n">
        <f aca="false">G19+G20</f>
        <v>8429.5575</v>
      </c>
      <c r="H21" s="36" t="n">
        <f aca="false">H19+H20</f>
        <v>9962.7075</v>
      </c>
      <c r="I21" s="36" t="n">
        <f aca="false">I19+I20</f>
        <v>11547.2835</v>
      </c>
      <c r="J21" s="36" t="n">
        <f aca="false">J19+J20</f>
        <v>13292.8335</v>
      </c>
      <c r="K21" s="36" t="n">
        <f aca="false">K19+K20</f>
        <v>15051.7935</v>
      </c>
      <c r="L21" s="36" t="n">
        <f aca="false">L19+L20</f>
        <v>16912.1925</v>
      </c>
      <c r="M21" s="36" t="n">
        <f aca="false">M19+M20</f>
        <v>18937.1925</v>
      </c>
      <c r="N21" s="36" t="n">
        <f aca="false">N19+N20</f>
        <v>21043.0575</v>
      </c>
      <c r="O21" s="36" t="n">
        <f aca="false">SUM(C21:N21)</f>
        <v>135067.79925</v>
      </c>
    </row>
    <row r="22" customFormat="false" ht="15" hidden="false" customHeight="false" outlineLevel="0" collapsed="false">
      <c r="B22" s="37" t="s">
        <v>103</v>
      </c>
      <c r="C22" s="38" t="n">
        <f aca="false">C13+C14+C17+C18</f>
        <v>4209.46875</v>
      </c>
      <c r="D22" s="38" t="n">
        <f aca="false">D13+D14+D17+D18</f>
        <v>4571.4375</v>
      </c>
      <c r="E22" s="38" t="n">
        <f aca="false">E13+E14+E17+E18</f>
        <v>6710.7375</v>
      </c>
      <c r="F22" s="38" t="n">
        <f aca="false">F13+F14+F17+F18</f>
        <v>7020.3375</v>
      </c>
      <c r="G22" s="38" t="n">
        <f aca="false">G13+G14+G17+G18</f>
        <v>9150.2775</v>
      </c>
      <c r="H22" s="38" t="n">
        <f aca="false">H13+H14+H17+H18</f>
        <v>10063.6875</v>
      </c>
      <c r="I22" s="38" t="n">
        <f aca="false">I13+I14+I17+I18</f>
        <v>12187.1835</v>
      </c>
      <c r="J22" s="38" t="n">
        <f aca="false">J13+J14+J17+J18</f>
        <v>13475.0835</v>
      </c>
      <c r="K22" s="38" t="n">
        <f aca="false">K13+K14+K17+K18</f>
        <v>15588.8235</v>
      </c>
      <c r="L22" s="38" t="n">
        <f aca="false">L13+L14+L17+L18</f>
        <v>17066.9475</v>
      </c>
      <c r="M22" s="38" t="n">
        <f aca="false">M13+M14+M17+M18</f>
        <v>19504.9575</v>
      </c>
      <c r="N22" s="38" t="n">
        <f aca="false">N13+N14+N17+N18</f>
        <v>21093.4575</v>
      </c>
      <c r="O22" s="38" t="n">
        <f aca="false">SUM(C22:N22)</f>
        <v>140642.39925</v>
      </c>
    </row>
    <row r="23" customFormat="false" ht="15" hidden="false" customHeight="false" outlineLevel="0" collapsed="false">
      <c r="B23" s="6" t="s">
        <v>104</v>
      </c>
      <c r="C23" s="38" t="n">
        <f aca="false">SUM(Assumptions!C29:C36)</f>
        <v>4900</v>
      </c>
      <c r="D23" s="38" t="n">
        <f aca="false">SUM(Assumptions!D29:D36)</f>
        <v>4650</v>
      </c>
      <c r="E23" s="38" t="n">
        <f aca="false">SUM(Assumptions!E29:E36)</f>
        <v>4700</v>
      </c>
      <c r="F23" s="38" t="n">
        <f aca="false">SUM(Assumptions!F29:F36)</f>
        <v>4700</v>
      </c>
      <c r="G23" s="38" t="n">
        <f aca="false">SUM(Assumptions!G29:G36)</f>
        <v>4800</v>
      </c>
      <c r="H23" s="38" t="n">
        <f aca="false">SUM(Assumptions!H29:H36)</f>
        <v>4800</v>
      </c>
      <c r="I23" s="38" t="n">
        <f aca="false">SUM(Assumptions!I29:I36)</f>
        <v>4900</v>
      </c>
      <c r="J23" s="38" t="n">
        <f aca="false">SUM(Assumptions!J29:J36)</f>
        <v>4900</v>
      </c>
      <c r="K23" s="38" t="n">
        <f aca="false">SUM(Assumptions!K29:K36)</f>
        <v>5000</v>
      </c>
      <c r="L23" s="38" t="n">
        <f aca="false">SUM(Assumptions!L29:L36)</f>
        <v>5000</v>
      </c>
      <c r="M23" s="38" t="n">
        <f aca="false">SUM(Assumptions!M29:M36)</f>
        <v>5100</v>
      </c>
      <c r="N23" s="38" t="n">
        <f aca="false">SUM(Assumptions!N29:N36)</f>
        <v>5100</v>
      </c>
      <c r="O23" s="38" t="n">
        <f aca="false">SUM(C23:N23)</f>
        <v>58550</v>
      </c>
    </row>
    <row r="24" customFormat="false" ht="15" hidden="false" customHeight="false" outlineLevel="0" collapsed="false">
      <c r="B24" s="35" t="s">
        <v>105</v>
      </c>
      <c r="C24" s="36" t="n">
        <f aca="false">C21-C23-Assumptions!$C$53</f>
        <v>-8614.28125</v>
      </c>
      <c r="D24" s="36" t="n">
        <f aca="false">D21-D23</f>
        <v>-78.5624999999991</v>
      </c>
      <c r="E24" s="36" t="n">
        <f aca="false">E21-E23</f>
        <v>1198.4875</v>
      </c>
      <c r="F24" s="36" t="n">
        <f aca="false">F21-F23</f>
        <v>2435.5375</v>
      </c>
      <c r="G24" s="36" t="n">
        <f aca="false">G21-G23</f>
        <v>3629.5575</v>
      </c>
      <c r="H24" s="36" t="n">
        <f aca="false">H21-H23</f>
        <v>5162.7075</v>
      </c>
      <c r="I24" s="36" t="n">
        <f aca="false">I21-I23</f>
        <v>6647.2835</v>
      </c>
      <c r="J24" s="36" t="n">
        <f aca="false">J21-J23</f>
        <v>8392.8335</v>
      </c>
      <c r="K24" s="36" t="n">
        <f aca="false">K21-K23</f>
        <v>10051.7935</v>
      </c>
      <c r="L24" s="36" t="n">
        <f aca="false">L21-L23</f>
        <v>11912.1925</v>
      </c>
      <c r="M24" s="36" t="n">
        <f aca="false">M21-M23</f>
        <v>13837.1925</v>
      </c>
      <c r="N24" s="36" t="n">
        <f aca="false">N21-N23</f>
        <v>15943.0575</v>
      </c>
      <c r="O24" s="36" t="n">
        <f aca="false">SUM(C24:N24)</f>
        <v>70517.79925</v>
      </c>
    </row>
    <row r="25" customFormat="false" ht="15" hidden="false" customHeight="false" outlineLevel="0" collapsed="false">
      <c r="B25" s="35" t="s">
        <v>106</v>
      </c>
      <c r="C25" s="36" t="n">
        <f aca="false">Assumptions!$C$52+C24</f>
        <v>6385.71875</v>
      </c>
      <c r="D25" s="36" t="n">
        <f aca="false">C25+D24</f>
        <v>6307.15625</v>
      </c>
      <c r="E25" s="36" t="n">
        <f aca="false">D25+E24</f>
        <v>7505.64375</v>
      </c>
      <c r="F25" s="36" t="n">
        <f aca="false">E25+F24</f>
        <v>9941.18125</v>
      </c>
      <c r="G25" s="36" t="n">
        <f aca="false">F25+G24</f>
        <v>13570.73875</v>
      </c>
      <c r="H25" s="36" t="n">
        <f aca="false">G25+H24</f>
        <v>18733.44625</v>
      </c>
      <c r="I25" s="36" t="n">
        <f aca="false">H25+I24</f>
        <v>25380.72975</v>
      </c>
      <c r="J25" s="36" t="n">
        <f aca="false">I25+J24</f>
        <v>33773.56325</v>
      </c>
      <c r="K25" s="36" t="n">
        <f aca="false">J25+K24</f>
        <v>43825.35675</v>
      </c>
      <c r="L25" s="36" t="n">
        <f aca="false">K25+L24</f>
        <v>55737.54925</v>
      </c>
      <c r="M25" s="36" t="n">
        <f aca="false">L25+M24</f>
        <v>69574.74175</v>
      </c>
      <c r="N25" s="36" t="n">
        <f aca="false">M25+N24</f>
        <v>85517.79925</v>
      </c>
      <c r="O25" s="36" t="n">
        <f aca="false">N25</f>
        <v>85517.79925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60"/>
    <col collapsed="false" customWidth="true" hidden="false" outlineLevel="0" max="7" min="4" style="1" width="16"/>
  </cols>
  <sheetData>
    <row r="1" customFormat="false" ht="18" hidden="false" customHeight="true" outlineLevel="0" collapsed="false"/>
    <row r="2" customFormat="false" ht="22.5" hidden="false" customHeight="true" outlineLevel="0" collapsed="false">
      <c r="B2" s="39" t="s">
        <v>107</v>
      </c>
    </row>
    <row r="3" customFormat="false" ht="23.25" hidden="false" customHeight="true" outlineLevel="0" collapsed="false">
      <c r="B3" s="40" t="s">
        <v>108</v>
      </c>
    </row>
    <row r="5" customFormat="false" ht="32.25" hidden="false" customHeight="true" outlineLevel="0" collapsed="false">
      <c r="B5" s="41" t="s">
        <v>109</v>
      </c>
    </row>
    <row r="7" customFormat="false" ht="15" hidden="false" customHeight="true" outlineLevel="0" collapsed="false">
      <c r="B7" s="10" t="s">
        <v>110</v>
      </c>
      <c r="C7" s="42" t="n">
        <v>9000</v>
      </c>
      <c r="D7" s="42" t="n">
        <v>11000</v>
      </c>
      <c r="E7" s="42" t="n">
        <v>12500</v>
      </c>
      <c r="F7" s="42" t="n">
        <v>14000</v>
      </c>
      <c r="G7" s="42" t="n">
        <v>16000</v>
      </c>
    </row>
    <row r="8" customFormat="false" ht="15" hidden="false" customHeight="true" outlineLevel="0" collapsed="false">
      <c r="B8" s="43" t="n">
        <v>0.2</v>
      </c>
      <c r="C8" s="32" t="n">
        <f aca="false">'Revenue Model'!$O$13/Assumptions!$D$10/0.35*0.2*9000</f>
        <v>24451.8171428571</v>
      </c>
      <c r="D8" s="32" t="n">
        <f aca="false">'Revenue Model'!$O$13/Assumptions!$D$10/0.35*0.2*11000</f>
        <v>29885.5542857143</v>
      </c>
      <c r="E8" s="32" t="n">
        <f aca="false">'Revenue Model'!$O$13/Assumptions!$D$10/0.35*0.2*12500</f>
        <v>33960.8571428571</v>
      </c>
      <c r="F8" s="32" t="n">
        <f aca="false">'Revenue Model'!$O$13/Assumptions!$D$10/0.35*0.2*14000</f>
        <v>38036.16</v>
      </c>
      <c r="G8" s="32" t="n">
        <f aca="false">'Revenue Model'!$O$13/Assumptions!$D$10/0.35*0.2*16000</f>
        <v>43469.8971428572</v>
      </c>
    </row>
    <row r="9" customFormat="false" ht="15" hidden="false" customHeight="true" outlineLevel="0" collapsed="false">
      <c r="B9" s="43" t="n">
        <v>0.25</v>
      </c>
      <c r="C9" s="32" t="n">
        <f aca="false">'Revenue Model'!$O$13/Assumptions!$D$10/0.35*0.25*9000</f>
        <v>30564.7714285714</v>
      </c>
      <c r="D9" s="32" t="n">
        <f aca="false">'Revenue Model'!$O$13/Assumptions!$D$10/0.35*0.25*11000</f>
        <v>37356.9428571429</v>
      </c>
      <c r="E9" s="32" t="n">
        <f aca="false">'Revenue Model'!$O$13/Assumptions!$D$10/0.35*0.25*12500</f>
        <v>42451.0714285714</v>
      </c>
      <c r="F9" s="32" t="n">
        <f aca="false">'Revenue Model'!$O$13/Assumptions!$D$10/0.35*0.25*14000</f>
        <v>47545.2</v>
      </c>
      <c r="G9" s="32" t="n">
        <f aca="false">'Revenue Model'!$O$13/Assumptions!$D$10/0.35*0.25*16000</f>
        <v>54337.3714285714</v>
      </c>
    </row>
    <row r="10" customFormat="false" ht="15" hidden="false" customHeight="true" outlineLevel="0" collapsed="false">
      <c r="B10" s="43" t="n">
        <v>0.3</v>
      </c>
      <c r="C10" s="32" t="n">
        <f aca="false">'Revenue Model'!$O$13/Assumptions!$D$10/0.35*0.3*9000</f>
        <v>36677.7257142857</v>
      </c>
      <c r="D10" s="32" t="n">
        <f aca="false">'Revenue Model'!$O$13/Assumptions!$D$10/0.35*0.3*11000</f>
        <v>44828.3314285714</v>
      </c>
      <c r="E10" s="32" t="n">
        <f aca="false">'Revenue Model'!$O$13/Assumptions!$D$10/0.35*0.3*12500</f>
        <v>50941.2857142857</v>
      </c>
      <c r="F10" s="32" t="n">
        <f aca="false">'Revenue Model'!$O$13/Assumptions!$D$10/0.35*0.3*14000</f>
        <v>57054.24</v>
      </c>
      <c r="G10" s="32" t="n">
        <f aca="false">'Revenue Model'!$O$13/Assumptions!$D$10/0.35*0.3*16000</f>
        <v>65204.8457142857</v>
      </c>
    </row>
    <row r="11" customFormat="false" ht="15" hidden="false" customHeight="true" outlineLevel="0" collapsed="false">
      <c r="B11" s="43" t="n">
        <v>0.35</v>
      </c>
      <c r="C11" s="32" t="n">
        <f aca="false">'Revenue Model'!$O$13/Assumptions!$D$10/0.35*0.35*9000</f>
        <v>42790.68</v>
      </c>
      <c r="D11" s="32" t="n">
        <f aca="false">'Revenue Model'!$O$13/Assumptions!$D$10/0.35*0.35*11000</f>
        <v>52299.72</v>
      </c>
      <c r="E11" s="32" t="n">
        <f aca="false">'Revenue Model'!$O$13/Assumptions!$D$10/0.35*0.35*12500</f>
        <v>59431.5</v>
      </c>
      <c r="F11" s="32" t="n">
        <f aca="false">'Revenue Model'!$O$13/Assumptions!$D$10/0.35*0.35*14000</f>
        <v>66563.28</v>
      </c>
      <c r="G11" s="32" t="n">
        <f aca="false">'Revenue Model'!$O$13/Assumptions!$D$10/0.35*0.35*16000</f>
        <v>76072.32</v>
      </c>
    </row>
    <row r="12" customFormat="false" ht="15" hidden="false" customHeight="true" outlineLevel="0" collapsed="false">
      <c r="B12" s="43" t="n">
        <v>0.4</v>
      </c>
      <c r="C12" s="32" t="n">
        <f aca="false">'Revenue Model'!$O$13/Assumptions!$D$10/0.35*0.4*9000</f>
        <v>48903.6342857143</v>
      </c>
      <c r="D12" s="32" t="n">
        <f aca="false">'Revenue Model'!$O$13/Assumptions!$D$10/0.35*0.4*11000</f>
        <v>59771.1085714286</v>
      </c>
      <c r="E12" s="32" t="n">
        <f aca="false">'Revenue Model'!$O$13/Assumptions!$D$10/0.35*0.4*12500</f>
        <v>67921.7142857143</v>
      </c>
      <c r="F12" s="32" t="n">
        <f aca="false">'Revenue Model'!$O$13/Assumptions!$D$10/0.35*0.4*14000</f>
        <v>76072.32</v>
      </c>
      <c r="G12" s="32" t="n">
        <f aca="false">'Revenue Model'!$O$13/Assumptions!$D$10/0.35*0.4*16000</f>
        <v>86939.7942857143</v>
      </c>
    </row>
    <row r="15" customFormat="false" ht="16.5" hidden="false" customHeight="true" outlineLevel="0" collapsed="false">
      <c r="B15" s="41" t="s">
        <v>111</v>
      </c>
    </row>
    <row r="16" customFormat="false" ht="15" hidden="false" customHeight="true" outlineLevel="0" collapsed="false">
      <c r="B16" s="4" t="s">
        <v>112</v>
      </c>
      <c r="C16" s="32" t="n">
        <f aca="false">'Revenue Model'!O22</f>
        <v>140642.39925</v>
      </c>
    </row>
    <row r="17" customFormat="false" ht="15" hidden="false" customHeight="true" outlineLevel="0" collapsed="false">
      <c r="B17" s="4" t="s">
        <v>113</v>
      </c>
      <c r="C17" s="32" t="n">
        <f aca="false">'Revenue Model'!O24</f>
        <v>70517.79925</v>
      </c>
    </row>
    <row r="18" customFormat="false" ht="15" hidden="false" customHeight="true" outlineLevel="0" collapsed="false">
      <c r="B18" s="4" t="s">
        <v>114</v>
      </c>
      <c r="C18" s="32" t="n">
        <f aca="false">'Revenue Model'!O25</f>
        <v>85517.79925</v>
      </c>
    </row>
    <row r="19" customFormat="false" ht="15" hidden="false" customHeight="true" outlineLevel="0" collapsed="false">
      <c r="B19" s="4" t="s">
        <v>115</v>
      </c>
      <c r="C19" s="4" t="s">
        <v>37</v>
      </c>
    </row>
    <row r="20" customFormat="false" ht="15" hidden="false" customHeight="true" outlineLevel="0" collapsed="false">
      <c r="B20" s="4" t="s">
        <v>116</v>
      </c>
      <c r="C20" s="4" t="s">
        <v>39</v>
      </c>
    </row>
    <row r="21" customFormat="false" ht="27.75" hidden="false" customHeight="true" outlineLevel="0" collapsed="false">
      <c r="B21" s="4" t="s">
        <v>117</v>
      </c>
      <c r="C21" s="4"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6"/>
    <col collapsed="false" customWidth="true" hidden="false" outlineLevel="0" max="3" min="3" style="0" width="20"/>
  </cols>
  <sheetData>
    <row r="2" customFormat="false" ht="17.35" hidden="false" customHeight="false" outlineLevel="0" collapsed="false">
      <c r="B2" s="44" t="s">
        <v>119</v>
      </c>
    </row>
    <row r="3" customFormat="false" ht="15" hidden="false" customHeight="false" outlineLevel="0" collapsed="false">
      <c r="B3" s="37" t="s">
        <v>120</v>
      </c>
    </row>
    <row r="5" customFormat="false" ht="15" hidden="false" customHeight="false" outlineLevel="0" collapsed="false">
      <c r="B5" s="6" t="s">
        <v>121</v>
      </c>
      <c r="C5" s="45" t="n">
        <v>35</v>
      </c>
    </row>
    <row r="6" customFormat="false" ht="15" hidden="false" customHeight="false" outlineLevel="0" collapsed="false">
      <c r="B6" s="6" t="s">
        <v>122</v>
      </c>
      <c r="C6" s="45" t="n">
        <v>48</v>
      </c>
    </row>
    <row r="7" customFormat="false" ht="15" hidden="false" customHeight="false" outlineLevel="0" collapsed="false">
      <c r="B7" s="6" t="s">
        <v>123</v>
      </c>
      <c r="C7" s="45" t="n">
        <v>55</v>
      </c>
    </row>
    <row r="8" customFormat="false" ht="15" hidden="false" customHeight="false" outlineLevel="0" collapsed="false">
      <c r="B8" s="6" t="s">
        <v>124</v>
      </c>
      <c r="C8" s="45" t="n">
        <v>35</v>
      </c>
    </row>
    <row r="9" customFormat="false" ht="15" hidden="false" customHeight="false" outlineLevel="0" collapsed="false">
      <c r="B9" s="6" t="s">
        <v>125</v>
      </c>
      <c r="C9" s="45" t="n">
        <v>10</v>
      </c>
    </row>
    <row r="10" customFormat="false" ht="15" hidden="false" customHeight="false" outlineLevel="0" collapsed="false">
      <c r="B10" s="6" t="s">
        <v>126</v>
      </c>
      <c r="C10" s="46" t="n">
        <v>1.5</v>
      </c>
    </row>
    <row r="11" customFormat="false" ht="15" hidden="false" customHeight="false" outlineLevel="0" collapsed="false">
      <c r="B11" s="6" t="s">
        <v>127</v>
      </c>
      <c r="C11" s="45" t="n">
        <v>3</v>
      </c>
    </row>
    <row r="12" customFormat="false" ht="15" hidden="false" customHeight="false" outlineLevel="0" collapsed="false">
      <c r="B12" s="6" t="s">
        <v>128</v>
      </c>
      <c r="C12" s="45" t="n">
        <v>5</v>
      </c>
    </row>
    <row r="14" customFormat="false" ht="15" hidden="false" customHeight="false" outlineLevel="0" collapsed="false">
      <c r="B14" s="35" t="s">
        <v>129</v>
      </c>
      <c r="C14" s="47" t="n">
        <f aca="false">C5*C6</f>
        <v>1680</v>
      </c>
    </row>
    <row r="15" customFormat="false" ht="15" hidden="false" customHeight="false" outlineLevel="0" collapsed="false">
      <c r="B15" s="6" t="s">
        <v>130</v>
      </c>
      <c r="C15" s="47" t="n">
        <f aca="false">C12*C6</f>
        <v>240</v>
      </c>
    </row>
    <row r="16" customFormat="false" ht="15" hidden="false" customHeight="false" outlineLevel="0" collapsed="false">
      <c r="B16" s="35" t="s">
        <v>131</v>
      </c>
      <c r="C16" s="47" t="n">
        <f aca="false">C14-C15</f>
        <v>1440</v>
      </c>
    </row>
    <row r="18" customFormat="false" ht="15" hidden="false" customHeight="false" outlineLevel="0" collapsed="false">
      <c r="B18" s="35" t="s">
        <v>132</v>
      </c>
    </row>
    <row r="19" customFormat="false" ht="15" hidden="false" customHeight="false" outlineLevel="0" collapsed="false">
      <c r="B19" s="6" t="s">
        <v>133</v>
      </c>
      <c r="C19" s="47" t="n">
        <f aca="false">'Revenue Model'!O10*C7</f>
        <v>261.4986</v>
      </c>
    </row>
    <row r="20" customFormat="false" ht="15" hidden="false" customHeight="false" outlineLevel="0" collapsed="false">
      <c r="B20" s="6" t="s">
        <v>134</v>
      </c>
      <c r="C20" s="47" t="n">
        <f aca="false">'Revenue Model'!O11*C8</f>
        <v>144.44766</v>
      </c>
    </row>
    <row r="21" customFormat="false" ht="15" hidden="false" customHeight="false" outlineLevel="0" collapsed="false">
      <c r="B21" s="6" t="s">
        <v>135</v>
      </c>
      <c r="C21" s="47" t="n">
        <f aca="false">(SUM('Revenue Model'!C12:N12)+SUM('Revenue Model'!C10:N10)*Assumptions!H10+SUM('Revenue Model'!C11:N11)*Assumptions!H11)*6*C9</f>
        <v>191.273724</v>
      </c>
    </row>
    <row r="22" customFormat="false" ht="15" hidden="false" customHeight="false" outlineLevel="0" collapsed="false">
      <c r="B22" s="6" t="s">
        <v>88</v>
      </c>
      <c r="C22" s="47" t="n">
        <f aca="false">'Revenue Model'!O7*C10</f>
        <v>95.1</v>
      </c>
    </row>
    <row r="23" customFormat="false" ht="15" hidden="false" customHeight="false" outlineLevel="0" collapsed="false">
      <c r="B23" s="6" t="s">
        <v>136</v>
      </c>
      <c r="C23" s="47" t="n">
        <f aca="false">'Revenue Model'!O8*C11</f>
        <v>85.59</v>
      </c>
    </row>
    <row r="24" customFormat="false" ht="15" hidden="false" customHeight="false" outlineLevel="0" collapsed="false">
      <c r="B24" s="35" t="s">
        <v>137</v>
      </c>
      <c r="C24" s="47" t="n">
        <f aca="false">SUM(C19:C23)</f>
        <v>777.909984</v>
      </c>
    </row>
    <row r="26" customFormat="false" ht="15" hidden="false" customHeight="false" outlineLevel="0" collapsed="false">
      <c r="B26" s="35" t="s">
        <v>138</v>
      </c>
      <c r="C26" s="48" t="n">
        <f aca="false">C24/C16</f>
        <v>0.540215266666667</v>
      </c>
    </row>
    <row r="27" customFormat="false" ht="26.85" hidden="false" customHeight="false" outlineLevel="0" collapsed="false">
      <c r="B27" s="35" t="s">
        <v>139</v>
      </c>
      <c r="C27" s="49" t="str">
        <f aca="false">IF(C26&gt;1,"OVER CAPACITY — needs help or fewer wins",IF(C26&gt;0.9,"TIGHT — &gt;90% utilized",IF(C26&gt;0.7,"OK — manageable","LOW — room to grow")))</f>
        <v>LOW — room to grow</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5" min="5" style="1" width="36"/>
    <col collapsed="false" customWidth="true" hidden="false" outlineLevel="0" max="6" min="6" style="1" width="24"/>
    <col collapsed="false" customWidth="true" hidden="false" outlineLevel="0" max="7" min="7" style="1" width="56"/>
    <col collapsed="false" customWidth="true" hidden="false" outlineLevel="0" max="8" min="8" style="1" width="16"/>
    <col collapsed="false" customWidth="true" hidden="false" outlineLevel="0" max="9" min="9" style="1" width="36"/>
    <col collapsed="false" customWidth="true" hidden="false" outlineLevel="0" max="10" min="10" style="1" width="28"/>
  </cols>
  <sheetData>
    <row r="1" customFormat="false" ht="18" hidden="false" customHeight="true" outlineLevel="0" collapsed="false">
      <c r="B1" s="50" t="s">
        <v>140</v>
      </c>
      <c r="C1" s="50"/>
      <c r="D1" s="50"/>
      <c r="E1" s="50"/>
      <c r="F1" s="50"/>
      <c r="G1" s="50"/>
      <c r="H1" s="50"/>
      <c r="I1" s="50"/>
      <c r="J1" s="50"/>
    </row>
    <row r="2" customFormat="false" ht="44.25" hidden="false" customHeight="true" outlineLevel="0" collapsed="false"/>
    <row r="3" customFormat="false" ht="23.25" hidden="false" customHeight="true" outlineLevel="0" collapsed="false">
      <c r="B3" s="2" t="s">
        <v>141</v>
      </c>
    </row>
    <row r="4" customFormat="false" ht="23.85" hidden="false" customHeight="false" outlineLevel="0" collapsed="false">
      <c r="B4" s="3" t="s">
        <v>142</v>
      </c>
    </row>
    <row r="5" customFormat="false" ht="15" hidden="false" customHeight="true" outlineLevel="0" collapsed="false"/>
    <row r="6" customFormat="false" ht="27.75" hidden="false" customHeight="true" outlineLevel="0" collapsed="false">
      <c r="B6" s="10" t="s">
        <v>143</v>
      </c>
      <c r="C6" s="10" t="s">
        <v>144</v>
      </c>
      <c r="D6" s="10" t="s">
        <v>28</v>
      </c>
      <c r="E6" s="10" t="s">
        <v>145</v>
      </c>
      <c r="F6" s="10" t="s">
        <v>146</v>
      </c>
      <c r="G6" s="10" t="s">
        <v>147</v>
      </c>
      <c r="H6" s="10" t="s">
        <v>148</v>
      </c>
      <c r="I6" s="10" t="s">
        <v>149</v>
      </c>
      <c r="J6" s="10" t="s">
        <v>150</v>
      </c>
    </row>
    <row r="7" customFormat="false" ht="27.75" hidden="false" customHeight="true" outlineLevel="0" collapsed="false">
      <c r="B7" s="4" t="s">
        <v>151</v>
      </c>
      <c r="C7" s="4" t="s">
        <v>152</v>
      </c>
      <c r="D7" s="4" t="s">
        <v>37</v>
      </c>
      <c r="E7" s="4" t="s">
        <v>153</v>
      </c>
      <c r="F7" s="4" t="s">
        <v>154</v>
      </c>
      <c r="G7" s="4" t="s">
        <v>155</v>
      </c>
      <c r="H7" s="4" t="s">
        <v>156</v>
      </c>
      <c r="I7" s="4" t="s">
        <v>157</v>
      </c>
      <c r="J7" s="4" t="s">
        <v>158</v>
      </c>
    </row>
    <row r="8" customFormat="false" ht="27.75" hidden="false" customHeight="true" outlineLevel="0" collapsed="false">
      <c r="B8" s="4" t="s">
        <v>159</v>
      </c>
      <c r="C8" s="4" t="s">
        <v>160</v>
      </c>
      <c r="D8" s="4" t="s">
        <v>161</v>
      </c>
      <c r="E8" s="4" t="s">
        <v>162</v>
      </c>
      <c r="F8" s="4" t="s">
        <v>163</v>
      </c>
      <c r="G8" s="4" t="s">
        <v>164</v>
      </c>
      <c r="H8" s="4" t="s">
        <v>156</v>
      </c>
      <c r="I8" s="4" t="s">
        <v>165</v>
      </c>
      <c r="J8" s="4" t="s">
        <v>166</v>
      </c>
    </row>
    <row r="9" customFormat="false" ht="27.75" hidden="false" customHeight="true" outlineLevel="0" collapsed="false">
      <c r="B9" s="4" t="s">
        <v>167</v>
      </c>
      <c r="C9" s="4" t="s">
        <v>152</v>
      </c>
      <c r="D9" s="4" t="s">
        <v>168</v>
      </c>
      <c r="E9" s="4" t="s">
        <v>169</v>
      </c>
      <c r="F9" s="4" t="s">
        <v>163</v>
      </c>
      <c r="G9" s="4" t="s">
        <v>170</v>
      </c>
      <c r="H9" s="4" t="s">
        <v>156</v>
      </c>
      <c r="I9" s="4" t="s">
        <v>171</v>
      </c>
      <c r="J9" s="4" t="s">
        <v>172</v>
      </c>
    </row>
    <row r="10" customFormat="false" ht="27.75" hidden="false" customHeight="true" outlineLevel="0" collapsed="false">
      <c r="B10" s="4" t="s">
        <v>173</v>
      </c>
      <c r="C10" s="4" t="s">
        <v>174</v>
      </c>
      <c r="D10" s="4" t="s">
        <v>175</v>
      </c>
      <c r="E10" s="4" t="s">
        <v>176</v>
      </c>
      <c r="F10" s="4" t="s">
        <v>177</v>
      </c>
      <c r="G10" s="4" t="s">
        <v>178</v>
      </c>
      <c r="H10" s="4" t="s">
        <v>156</v>
      </c>
      <c r="I10" s="4" t="s">
        <v>179</v>
      </c>
      <c r="J10" s="4" t="s">
        <v>180</v>
      </c>
    </row>
    <row r="11" customFormat="false" ht="28.35" hidden="false" customHeight="false" outlineLevel="0" collapsed="false">
      <c r="B11" s="4" t="s">
        <v>181</v>
      </c>
      <c r="C11" s="4" t="s">
        <v>174</v>
      </c>
      <c r="D11" s="4" t="s">
        <v>182</v>
      </c>
      <c r="E11" s="4" t="s">
        <v>183</v>
      </c>
      <c r="F11" s="4" t="s">
        <v>184</v>
      </c>
      <c r="G11" s="4" t="s">
        <v>185</v>
      </c>
      <c r="H11" s="4" t="s">
        <v>156</v>
      </c>
      <c r="I11" s="4" t="s">
        <v>186</v>
      </c>
      <c r="J11" s="4" t="s">
        <v>187</v>
      </c>
    </row>
  </sheetData>
  <mergeCells count="1">
    <mergeCell ref="B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2026-05-25T09:37:43Z</dcterms:created>
  <dc:creator>openpyxl</dc:creator>
  <dc:description/>
  <dc:language>en-US</dc:language>
  <cp:lastModifiedBy/>
  <dcterms:modified xsi:type="dcterms:W3CDTF">2026-05-28T09:50:47Z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